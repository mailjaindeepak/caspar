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'Leads'!$A$1:$R$141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F5D46"/>
      <sz val="10"/>
      <u val="single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F5D46"/>
      </patternFill>
    </fill>
    <fill>
      <patternFill patternType="solid">
        <fgColor rgb="00A87B2D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0" fontId="3" fillId="0" borderId="1" pivotButton="0" quotePrefix="0" xfId="0"/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164" fontId="2" fillId="0" borderId="1" pivotButton="0" quotePrefix="0" xfId="0"/>
    <xf numFmtId="0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0" fillId="5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cpharyana.gov.in/CS_marking/LicenceGIS/CluIndex?CluNo=CLU/AA-860A" TargetMode="External" Id="rId1"/><Relationship Type="http://schemas.openxmlformats.org/officeDocument/2006/relationships/hyperlink" Target="https://tcpharyana.gov.in/CS_marking/LicenceGIS/CluIndex?CluNo=CLU/AA-806A" TargetMode="External" Id="rId2"/><Relationship Type="http://schemas.openxmlformats.org/officeDocument/2006/relationships/hyperlink" Target="https://tcpharyana.gov.in/CS_marking/LicenceGIS/CluIndex?CluNo=CLU/AA-780A" TargetMode="External" Id="rId3"/><Relationship Type="http://schemas.openxmlformats.org/officeDocument/2006/relationships/hyperlink" Target="https://tcpharyana.gov.in/CS_marking/LicenceGIS/CluIndex?CluNo=CLU/AA-764A" TargetMode="External" Id="rId4"/><Relationship Type="http://schemas.openxmlformats.org/officeDocument/2006/relationships/hyperlink" Target="https://tcpharyana.gov.in/CS_marking/LicenceGIS/CluIndex?CluNo=CLU/AA-751A" TargetMode="External" Id="rId5"/><Relationship Type="http://schemas.openxmlformats.org/officeDocument/2006/relationships/hyperlink" Target="https://tcpharyana.gov.in/CS_marking/LicenceGIS/CluIndex?CluNo=CLU/AA-723A" TargetMode="External" Id="rId6"/><Relationship Type="http://schemas.openxmlformats.org/officeDocument/2006/relationships/hyperlink" Target="https://tcpharyana.gov.in/CS_marking/LicenceGIS/CluIndex?CluNo=CLU/AA-674" TargetMode="External" Id="rId7"/><Relationship Type="http://schemas.openxmlformats.org/officeDocument/2006/relationships/hyperlink" Target="https://tcpharyana.gov.in/CS_marking/LicenceGIS/CluIndex?CluNo=CLU/AA-657" TargetMode="External" Id="rId8"/><Relationship Type="http://schemas.openxmlformats.org/officeDocument/2006/relationships/hyperlink" Target="https://tcpharyana.gov.in/CS_marking/LicenceGIS/CluIndex?CluNo=CLU/AA-618" TargetMode="External" Id="rId9"/><Relationship Type="http://schemas.openxmlformats.org/officeDocument/2006/relationships/hyperlink" Target="https://tcpharyana.gov.in/CS_marking/LicenceGIS/CluIndex?CluNo=CLU/AA-643" TargetMode="External" Id="rId10"/><Relationship Type="http://schemas.openxmlformats.org/officeDocument/2006/relationships/hyperlink" Target="https://tcpharyana.gov.in/CS_marking/LicenceGIS/CluIndex?CluNo=CLU/AA-652" TargetMode="External" Id="rId11"/><Relationship Type="http://schemas.openxmlformats.org/officeDocument/2006/relationships/hyperlink" Target="https://tcpharyana.gov.in/CS_marking/LicenceGIS/CluIndex?CluNo=CLU/HR-1368A" TargetMode="External" Id="rId12"/><Relationship Type="http://schemas.openxmlformats.org/officeDocument/2006/relationships/hyperlink" Target="https://tcpharyana.gov.in/CS_marking/LicenceGIS/CluIndex?CluNo=CLU/HR-1391A" TargetMode="External" Id="rId13"/><Relationship Type="http://schemas.openxmlformats.org/officeDocument/2006/relationships/hyperlink" Target="https://tcpharyana.gov.in/CS_marking/LicenceGIS/CluIndex?CluNo=CLU/HR-1415A" TargetMode="External" Id="rId14"/><Relationship Type="http://schemas.openxmlformats.org/officeDocument/2006/relationships/hyperlink" Target="https://tcpharyana.gov.in/CS_marking/LicenceGIS/CluIndex?CluNo=CLU/HR-1398A" TargetMode="External" Id="rId15"/><Relationship Type="http://schemas.openxmlformats.org/officeDocument/2006/relationships/hyperlink" Target="https://tcpharyana.gov.in/CS_marking/LicenceGIS/CluIndex?CluNo=CLU/HR-1388A" TargetMode="External" Id="rId16"/><Relationship Type="http://schemas.openxmlformats.org/officeDocument/2006/relationships/hyperlink" Target="https://tcpharyana.gov.in/CS_marking/LicenceGIS/CluIndex?CluNo=CLU/HR-1350A" TargetMode="External" Id="rId17"/><Relationship Type="http://schemas.openxmlformats.org/officeDocument/2006/relationships/hyperlink" Target="https://tcpharyana.gov.in/CS_marking/LicenceGIS/CluIndex?CluNo=CLU/HR-1352A" TargetMode="External" Id="rId18"/><Relationship Type="http://schemas.openxmlformats.org/officeDocument/2006/relationships/hyperlink" Target="https://tcpharyana.gov.in/CS_marking/LicenceGIS/CluIndex?CluNo=CLU/HR-1309A" TargetMode="External" Id="rId19"/><Relationship Type="http://schemas.openxmlformats.org/officeDocument/2006/relationships/hyperlink" Target="https://tcpharyana.gov.in/CS_marking/LicenceGIS/CluIndex?CluNo=CLU/HR-1282A" TargetMode="External" Id="rId20"/><Relationship Type="http://schemas.openxmlformats.org/officeDocument/2006/relationships/hyperlink" Target="https://tcpharyana.gov.in/CS_marking/LicenceGIS/CluIndex?CluNo=CLU/HR-1279A" TargetMode="External" Id="rId21"/><Relationship Type="http://schemas.openxmlformats.org/officeDocument/2006/relationships/hyperlink" Target="https://tcpharyana.gov.in/CS_marking/LicenceGIS/CluIndex?CluNo=CLU/HR-1248A" TargetMode="External" Id="rId22"/><Relationship Type="http://schemas.openxmlformats.org/officeDocument/2006/relationships/hyperlink" Target="https://tcpharyana.gov.in/CS_marking/LicenceGIS/CluIndex?CluNo=CLU/HR-1260A" TargetMode="External" Id="rId23"/><Relationship Type="http://schemas.openxmlformats.org/officeDocument/2006/relationships/hyperlink" Target="https://tcpharyana.gov.in/CS_marking/LicenceGIS/CluIndex?CluNo=CLU/HR-1265A" TargetMode="External" Id="rId24"/><Relationship Type="http://schemas.openxmlformats.org/officeDocument/2006/relationships/hyperlink" Target="https://tcpharyana.gov.in/CS_marking/LicenceGIS/CluIndex?CluNo=CLU/HR-1258A" TargetMode="External" Id="rId25"/><Relationship Type="http://schemas.openxmlformats.org/officeDocument/2006/relationships/hyperlink" Target="https://tcpharyana.gov.in/CS_marking/LicenceGIS/CluIndex?CluNo=CLU/HR-1261A" TargetMode="External" Id="rId26"/><Relationship Type="http://schemas.openxmlformats.org/officeDocument/2006/relationships/hyperlink" Target="https://tcpharyana.gov.in/CS_marking/LicenceGIS/CluIndex?CluNo=CLU/HR-1231A" TargetMode="External" Id="rId27"/><Relationship Type="http://schemas.openxmlformats.org/officeDocument/2006/relationships/hyperlink" Target="https://tcpharyana.gov.in/CS_marking/LicenceGIS/CluIndex?CluNo=CLU/HR-1219A" TargetMode="External" Id="rId28"/><Relationship Type="http://schemas.openxmlformats.org/officeDocument/2006/relationships/hyperlink" Target="https://tcpharyana.gov.in/CS_marking/LicenceGIS/CluIndex?CluNo=CLU/HR-1217A" TargetMode="External" Id="rId29"/><Relationship Type="http://schemas.openxmlformats.org/officeDocument/2006/relationships/hyperlink" Target="https://tcpharyana.gov.in/CS_marking/LicenceGIS/CluIndex?CluNo=CLU/HR-1195A" TargetMode="External" Id="rId30"/><Relationship Type="http://schemas.openxmlformats.org/officeDocument/2006/relationships/hyperlink" Target="https://tcpharyana.gov.in/CS_marking/LicenceGIS/CluIndex?CluNo=CLU/HR-1205A" TargetMode="External" Id="rId31"/><Relationship Type="http://schemas.openxmlformats.org/officeDocument/2006/relationships/hyperlink" Target="https://tcpharyana.gov.in/CS_marking/LicenceGIS/CluIndex?CluNo=CLU/HR-1183A" TargetMode="External" Id="rId32"/><Relationship Type="http://schemas.openxmlformats.org/officeDocument/2006/relationships/hyperlink" Target="https://tcpharyana.gov.in/CS_marking/LicenceGIS/CluIndex?CluNo=CLU/HR-1166A" TargetMode="External" Id="rId33"/><Relationship Type="http://schemas.openxmlformats.org/officeDocument/2006/relationships/hyperlink" Target="https://tcpharyana.gov.in/CS_marking/LicenceGIS/CluIndex?CluNo=CLU/HR-1194A" TargetMode="External" Id="rId34"/><Relationship Type="http://schemas.openxmlformats.org/officeDocument/2006/relationships/hyperlink" Target="https://tcpharyana.gov.in/CS_marking/LicenceGIS/CluIndex?CluNo=CLU/HR-1181A" TargetMode="External" Id="rId35"/><Relationship Type="http://schemas.openxmlformats.org/officeDocument/2006/relationships/hyperlink" Target="https://tcpharyana.gov.in/CS_marking/LicenceGIS/CluIndex?CluNo=CLU/HR-1171A" TargetMode="External" Id="rId36"/><Relationship Type="http://schemas.openxmlformats.org/officeDocument/2006/relationships/hyperlink" Target="https://tcpharyana.gov.in/CS_marking/LicenceGIS/CluIndex?CluNo=CLU/HR-954A" TargetMode="External" Id="rId37"/><Relationship Type="http://schemas.openxmlformats.org/officeDocument/2006/relationships/hyperlink" Target="https://tcpharyana.gov.in/CS_marking/LicenceGIS/CluIndex?CluNo=CLU/HR-1155A" TargetMode="External" Id="rId38"/><Relationship Type="http://schemas.openxmlformats.org/officeDocument/2006/relationships/hyperlink" Target="https://tcpharyana.gov.in/CS_marking/LicenceGIS/CluIndex?CluNo=CLU/HR-1134A" TargetMode="External" Id="rId39"/><Relationship Type="http://schemas.openxmlformats.org/officeDocument/2006/relationships/hyperlink" Target="https://tcpharyana.gov.in/CS_marking/LicenceGIS/CluIndex?CluNo=CLU/HR-831" TargetMode="External" Id="rId40"/><Relationship Type="http://schemas.openxmlformats.org/officeDocument/2006/relationships/hyperlink" Target="https://tcpharyana.gov.in/CS_marking/LicenceGIS/CluIndex?CluNo=CLU/HR-902" TargetMode="External" Id="rId41"/><Relationship Type="http://schemas.openxmlformats.org/officeDocument/2006/relationships/hyperlink" Target="https://tcpharyana.gov.in/CS_marking/LicenceGIS/CluIndex?CluNo=CLU/HR-842" TargetMode="External" Id="rId42"/><Relationship Type="http://schemas.openxmlformats.org/officeDocument/2006/relationships/hyperlink" Target="https://tcpharyana.gov.in/CS_marking/LicenceGIS/CluIndex?CluNo=CLU/HR-851" TargetMode="External" Id="rId43"/><Relationship Type="http://schemas.openxmlformats.org/officeDocument/2006/relationships/hyperlink" Target="https://tcpharyana.gov.in/CS_marking/LicenceGIS/CluIndex?CluNo=CLU/KL-1369A" TargetMode="External" Id="rId44"/><Relationship Type="http://schemas.openxmlformats.org/officeDocument/2006/relationships/hyperlink" Target="https://tcpharyana.gov.in/CS_marking/LicenceGIS/CluIndex?CluNo=CLU/KL-1245A" TargetMode="External" Id="rId45"/><Relationship Type="http://schemas.openxmlformats.org/officeDocument/2006/relationships/hyperlink" Target="https://tcpharyana.gov.in/CS_marking/LicenceGIS/CluIndex?CluNo=CLU/KL-1392A" TargetMode="External" Id="rId46"/><Relationship Type="http://schemas.openxmlformats.org/officeDocument/2006/relationships/hyperlink" Target="https://tcpharyana.gov.in/CS_marking/LicenceGIS/CluIndex?CluNo=CLU/KL-1400A" TargetMode="External" Id="rId47"/><Relationship Type="http://schemas.openxmlformats.org/officeDocument/2006/relationships/hyperlink" Target="https://tcpharyana.gov.in/CS_marking/LicenceGIS/CluIndex?CluNo=CLU/KL-1324A" TargetMode="External" Id="rId48"/><Relationship Type="http://schemas.openxmlformats.org/officeDocument/2006/relationships/hyperlink" Target="https://tcpharyana.gov.in/CS_marking/LicenceGIS/CluIndex?CluNo=CLU/KL-1263A" TargetMode="External" Id="rId49"/><Relationship Type="http://schemas.openxmlformats.org/officeDocument/2006/relationships/hyperlink" Target="https://tcpharyana.gov.in/CS_marking/LicenceGIS/CluIndex?CluNo=CLU/KL-951C" TargetMode="External" Id="rId50"/><Relationship Type="http://schemas.openxmlformats.org/officeDocument/2006/relationships/hyperlink" Target="https://tcpharyana.gov.in/CS_marking/LicenceGIS/CluIndex?CluNo=CLU/KL-1302A" TargetMode="External" Id="rId51"/><Relationship Type="http://schemas.openxmlformats.org/officeDocument/2006/relationships/hyperlink" Target="https://tcpharyana.gov.in/CS_marking/LicenceGIS/CluIndex?CluNo=CLU/KL-1247A" TargetMode="External" Id="rId52"/><Relationship Type="http://schemas.openxmlformats.org/officeDocument/2006/relationships/hyperlink" Target="https://tcpharyana.gov.in/CS_marking/LicenceGIS/CluIndex?CluNo=CLU/KL-1206A" TargetMode="External" Id="rId53"/><Relationship Type="http://schemas.openxmlformats.org/officeDocument/2006/relationships/hyperlink" Target="https://tcpharyana.gov.in/CS_marking/LicenceGIS/CluIndex?CluNo=CLU/KL-825C" TargetMode="External" Id="rId54"/><Relationship Type="http://schemas.openxmlformats.org/officeDocument/2006/relationships/hyperlink" Target="https://tcpharyana.gov.in/CS_marking/LicenceGIS/CluIndex?CluNo=CLU/KL-956B" TargetMode="External" Id="rId55"/><Relationship Type="http://schemas.openxmlformats.org/officeDocument/2006/relationships/hyperlink" Target="https://tcpharyana.gov.in/CS_marking/LicenceGIS/CluIndex?CluNo=CLU/KL-1146A" TargetMode="External" Id="rId56"/><Relationship Type="http://schemas.openxmlformats.org/officeDocument/2006/relationships/hyperlink" Target="https://tcpharyana.gov.in/CS_marking/LicenceGIS/CluIndex?CluNo=CLU/KL-1105A" TargetMode="External" Id="rId57"/><Relationship Type="http://schemas.openxmlformats.org/officeDocument/2006/relationships/hyperlink" Target="https://tcpharyana.gov.in/CS_marking/LicenceGIS/CluIndex?CluNo=CLU/KL-1071A" TargetMode="External" Id="rId58"/><Relationship Type="http://schemas.openxmlformats.org/officeDocument/2006/relationships/hyperlink" Target="https://tcpharyana.gov.in/CS_marking/LicenceGIS/CluIndex?CluNo=CLU/KL-945" TargetMode="External" Id="rId59"/><Relationship Type="http://schemas.openxmlformats.org/officeDocument/2006/relationships/hyperlink" Target="https://tcpharyana.gov.in/CS_marking/LicenceGIS/CluIndex?CluNo=CLU/KL-916" TargetMode="External" Id="rId60"/><Relationship Type="http://schemas.openxmlformats.org/officeDocument/2006/relationships/hyperlink" Target="https://tcpharyana.gov.in/CS_marking/LicenceGIS/CluIndex?CluNo=CLU/KL-876" TargetMode="External" Id="rId61"/><Relationship Type="http://schemas.openxmlformats.org/officeDocument/2006/relationships/hyperlink" Target="https://tcpharyana.gov.in/CS_marking/LicenceGIS/CluIndex?CluNo=CLU/KL-904" TargetMode="External" Id="rId62"/><Relationship Type="http://schemas.openxmlformats.org/officeDocument/2006/relationships/hyperlink" Target="https://tcpharyana.gov.in/CS_marking/LicenceGIS/CluIndex?CluNo=CLU/KA-806A" TargetMode="External" Id="rId63"/><Relationship Type="http://schemas.openxmlformats.org/officeDocument/2006/relationships/hyperlink" Target="https://tcpharyana.gov.in/CS_marking/LicenceGIS/CluIndex?CluNo=CLU/KA-805B" TargetMode="External" Id="rId64"/><Relationship Type="http://schemas.openxmlformats.org/officeDocument/2006/relationships/hyperlink" Target="https://tcpharyana.gov.in/CS_marking/LicenceGIS/CluIndex?CluNo=CLU/KA-760A" TargetMode="External" Id="rId65"/><Relationship Type="http://schemas.openxmlformats.org/officeDocument/2006/relationships/hyperlink" Target="https://tcpharyana.gov.in/CS_marking/LicenceGIS/CluIndex?CluNo=CLU/KA-853A" TargetMode="External" Id="rId66"/><Relationship Type="http://schemas.openxmlformats.org/officeDocument/2006/relationships/hyperlink" Target="https://tcpharyana.gov.in/CS_marking/LicenceGIS/CluIndex?CluNo=CLU/KA-807A" TargetMode="External" Id="rId67"/><Relationship Type="http://schemas.openxmlformats.org/officeDocument/2006/relationships/hyperlink" Target="https://tcpharyana.gov.in/CS_marking/LicenceGIS/CluIndex?CluNo=CLU/KA-818A" TargetMode="External" Id="rId68"/><Relationship Type="http://schemas.openxmlformats.org/officeDocument/2006/relationships/hyperlink" Target="https://tcpharyana.gov.in/CS_marking/LicenceGIS/CluIndex?CluNo=CLU/KA-815A" TargetMode="External" Id="rId69"/><Relationship Type="http://schemas.openxmlformats.org/officeDocument/2006/relationships/hyperlink" Target="https://tcpharyana.gov.in/CS_marking/LicenceGIS/CluIndex?CluNo=CLU/KA-805A" TargetMode="External" Id="rId70"/><Relationship Type="http://schemas.openxmlformats.org/officeDocument/2006/relationships/hyperlink" Target="https://tcpharyana.gov.in/CS_marking/LicenceGIS/CluIndex?CluNo=CLU/KA-803A" TargetMode="External" Id="rId71"/><Relationship Type="http://schemas.openxmlformats.org/officeDocument/2006/relationships/hyperlink" Target="https://tcpharyana.gov.in/CS_marking/LicenceGIS/CluIndex?CluNo=CLU/KA-796A" TargetMode="External" Id="rId72"/><Relationship Type="http://schemas.openxmlformats.org/officeDocument/2006/relationships/hyperlink" Target="https://tcpharyana.gov.in/CS_marking/LicenceGIS/CluIndex?CluNo=CLU/KA-749A" TargetMode="External" Id="rId73"/><Relationship Type="http://schemas.openxmlformats.org/officeDocument/2006/relationships/hyperlink" Target="https://tcpharyana.gov.in/CS_marking/LicenceGIS/CluIndex?CluNo=CLU/KA-792A" TargetMode="External" Id="rId74"/><Relationship Type="http://schemas.openxmlformats.org/officeDocument/2006/relationships/hyperlink" Target="https://tcpharyana.gov.in/CS_marking/LicenceGIS/CluIndex?CluNo=CLU/KA-747A" TargetMode="External" Id="rId75"/><Relationship Type="http://schemas.openxmlformats.org/officeDocument/2006/relationships/hyperlink" Target="https://tcpharyana.gov.in/CS_marking/LicenceGIS/CluIndex?CluNo=CLU/KA-765A" TargetMode="External" Id="rId76"/><Relationship Type="http://schemas.openxmlformats.org/officeDocument/2006/relationships/hyperlink" Target="https://tcpharyana.gov.in/CS_marking/LicenceGIS/CluIndex?CluNo=CLU/KA-759A" TargetMode="External" Id="rId77"/><Relationship Type="http://schemas.openxmlformats.org/officeDocument/2006/relationships/hyperlink" Target="https://tcpharyana.gov.in/CS_marking/LicenceGIS/CluIndex?CluNo=CLU/KA-672" TargetMode="External" Id="rId78"/><Relationship Type="http://schemas.openxmlformats.org/officeDocument/2006/relationships/hyperlink" Target="https://tcpharyana.gov.in/CS_marking/LicenceGIS/CluIndex?CluNo=CLU/KA-645" TargetMode="External" Id="rId79"/><Relationship Type="http://schemas.openxmlformats.org/officeDocument/2006/relationships/hyperlink" Target="https://tcpharyana.gov.in/CS_marking/LicenceGIS/CluIndex?CluNo=CLU/KA-608" TargetMode="External" Id="rId80"/><Relationship Type="http://schemas.openxmlformats.org/officeDocument/2006/relationships/hyperlink" Target="https://tcpharyana.gov.in/CS_marking/LicenceGIS/CluIndex?CluNo=CLU/KA-619" TargetMode="External" Id="rId81"/><Relationship Type="http://schemas.openxmlformats.org/officeDocument/2006/relationships/hyperlink" Target="https://tcpharyana.gov.in/CS_marking/LicenceGIS/CluIndex?CluNo=CLU/PT-1390A" TargetMode="External" Id="rId82"/><Relationship Type="http://schemas.openxmlformats.org/officeDocument/2006/relationships/hyperlink" Target="https://tcpharyana.gov.in/CS_marking/LicenceGIS/CluIndex?CluNo=CLU/PT-1821A" TargetMode="External" Id="rId83"/><Relationship Type="http://schemas.openxmlformats.org/officeDocument/2006/relationships/hyperlink" Target="https://tcpharyana.gov.in/CS_marking/LicenceGIS/CluIndex?CluNo=CLU/PT-1783A" TargetMode="External" Id="rId84"/><Relationship Type="http://schemas.openxmlformats.org/officeDocument/2006/relationships/hyperlink" Target="https://tcpharyana.gov.in/CS_marking/LicenceGIS/CluIndex?CluNo=CLU/PT-1692A" TargetMode="External" Id="rId85"/><Relationship Type="http://schemas.openxmlformats.org/officeDocument/2006/relationships/hyperlink" Target="https://tcpharyana.gov.in/CS_marking/LicenceGIS/CluIndex?CluNo=CLU/PT-1774A" TargetMode="External" Id="rId86"/><Relationship Type="http://schemas.openxmlformats.org/officeDocument/2006/relationships/hyperlink" Target="https://tcpharyana.gov.in/CS_marking/LicenceGIS/CluIndex?CluNo=CLU/PT-1681A" TargetMode="External" Id="rId87"/><Relationship Type="http://schemas.openxmlformats.org/officeDocument/2006/relationships/hyperlink" Target="https://tcpharyana.gov.in/CS_marking/LicenceGIS/CluIndex?CluNo=CLU/PT-1617A" TargetMode="External" Id="rId88"/><Relationship Type="http://schemas.openxmlformats.org/officeDocument/2006/relationships/hyperlink" Target="https://tcpharyana.gov.in/CS_marking/LicenceGIS/CluIndex?CluNo=CLU/PT-1793A" TargetMode="External" Id="rId89"/><Relationship Type="http://schemas.openxmlformats.org/officeDocument/2006/relationships/hyperlink" Target="https://tcpharyana.gov.in/CS_marking/LicenceGIS/CluIndex?CluNo=CLU/PT-1734A" TargetMode="External" Id="rId90"/><Relationship Type="http://schemas.openxmlformats.org/officeDocument/2006/relationships/hyperlink" Target="https://tcpharyana.gov.in/CS_marking/LicenceGIS/CluIndex?CluNo=CLU/PT-1780A" TargetMode="External" Id="rId91"/><Relationship Type="http://schemas.openxmlformats.org/officeDocument/2006/relationships/hyperlink" Target="https://tcpharyana.gov.in/CS_marking/LicenceGIS/CluIndex?CluNo=CLU/PT-1615A" TargetMode="External" Id="rId92"/><Relationship Type="http://schemas.openxmlformats.org/officeDocument/2006/relationships/hyperlink" Target="https://tcpharyana.gov.in/CS_marking/LicenceGIS/CluIndex?CluNo=CLU/PT-1729A" TargetMode="External" Id="rId93"/><Relationship Type="http://schemas.openxmlformats.org/officeDocument/2006/relationships/hyperlink" Target="https://tcpharyana.gov.in/CS_marking/LicenceGIS/CluIndex?CluNo=CLU/PT-1625A" TargetMode="External" Id="rId94"/><Relationship Type="http://schemas.openxmlformats.org/officeDocument/2006/relationships/hyperlink" Target="https://tcpharyana.gov.in/CS_marking/LicenceGIS/CluIndex?CluNo=CLU/PT-1526B" TargetMode="External" Id="rId95"/><Relationship Type="http://schemas.openxmlformats.org/officeDocument/2006/relationships/hyperlink" Target="https://tcpharyana.gov.in/CS_marking/LicenceGIS/CluIndex?CluNo=CLU/PT-1555A" TargetMode="External" Id="rId96"/><Relationship Type="http://schemas.openxmlformats.org/officeDocument/2006/relationships/hyperlink" Target="https://tcpharyana.gov.in/CS_marking/LicenceGIS/CluIndex?CluNo=CLU/PT-1580A" TargetMode="External" Id="rId97"/><Relationship Type="http://schemas.openxmlformats.org/officeDocument/2006/relationships/hyperlink" Target="https://tcpharyana.gov.in/CS_marking/LicenceGIS/CluIndex?CluNo=CLU/PT-1511A" TargetMode="External" Id="rId98"/><Relationship Type="http://schemas.openxmlformats.org/officeDocument/2006/relationships/hyperlink" Target="https://tcpharyana.gov.in/CS_marking/LicenceGIS/CluIndex?CluNo=CLU/PT-1614A" TargetMode="External" Id="rId99"/><Relationship Type="http://schemas.openxmlformats.org/officeDocument/2006/relationships/hyperlink" Target="https://tcpharyana.gov.in/CS_marking/LicenceGIS/CluIndex?CluNo=CLU/PT-1583A" TargetMode="External" Id="rId100"/><Relationship Type="http://schemas.openxmlformats.org/officeDocument/2006/relationships/hyperlink" Target="https://tcpharyana.gov.in/CS_marking/LicenceGIS/CluIndex?CluNo=CLU/PT-1526A" TargetMode="External" Id="rId101"/><Relationship Type="http://schemas.openxmlformats.org/officeDocument/2006/relationships/hyperlink" Target="https://tcpharyana.gov.in/CS_marking/LicenceGIS/CluIndex?CluNo=CLU/PT-1514A" TargetMode="External" Id="rId102"/><Relationship Type="http://schemas.openxmlformats.org/officeDocument/2006/relationships/hyperlink" Target="https://tcpharyana.gov.in/CS_marking/LicenceGIS/CluIndex?CluNo=CLU/PT-1368A" TargetMode="External" Id="rId103"/><Relationship Type="http://schemas.openxmlformats.org/officeDocument/2006/relationships/hyperlink" Target="https://tcpharyana.gov.in/CS_marking/LicenceGIS/CluIndex?CluNo=CLU/PT-819B" TargetMode="External" Id="rId104"/><Relationship Type="http://schemas.openxmlformats.org/officeDocument/2006/relationships/hyperlink" Target="https://tcpharyana.gov.in/CS_marking/LicenceGIS/CluIndex?CluNo=CLU/PT-822" TargetMode="External" Id="rId105"/><Relationship Type="http://schemas.openxmlformats.org/officeDocument/2006/relationships/hyperlink" Target="https://tcpharyana.gov.in/CS_marking/LicenceGIS/CluIndex?CluNo=CLU/PT-819" TargetMode="External" Id="rId106"/><Relationship Type="http://schemas.openxmlformats.org/officeDocument/2006/relationships/hyperlink" Target="https://tcpharyana.gov.in/CS_marking/LicenceGIS/CluIndex?CluNo=CLU/RK-1222A" TargetMode="External" Id="rId107"/><Relationship Type="http://schemas.openxmlformats.org/officeDocument/2006/relationships/hyperlink" Target="https://tcpharyana.gov.in/CS_marking/LicenceGIS/CluIndex?CluNo=CLU/RK-1237A" TargetMode="External" Id="rId108"/><Relationship Type="http://schemas.openxmlformats.org/officeDocument/2006/relationships/hyperlink" Target="https://tcpharyana.gov.in/CS_marking/LicenceGIS/CluIndex?CluNo=CLU/RK-1218A" TargetMode="External" Id="rId109"/><Relationship Type="http://schemas.openxmlformats.org/officeDocument/2006/relationships/hyperlink" Target="https://tcpharyana.gov.in/CS_marking/LicenceGIS/CluIndex?CluNo=CLU/RK-1169A" TargetMode="External" Id="rId110"/><Relationship Type="http://schemas.openxmlformats.org/officeDocument/2006/relationships/hyperlink" Target="https://tcpharyana.gov.in/CS_marking/LicenceGIS/CluIndex?CluNo=CLU/RK-1202A" TargetMode="External" Id="rId111"/><Relationship Type="http://schemas.openxmlformats.org/officeDocument/2006/relationships/hyperlink" Target="https://tcpharyana.gov.in/CS_marking/LicenceGIS/CluIndex?CluNo=CLU/RK-1162A" TargetMode="External" Id="rId112"/><Relationship Type="http://schemas.openxmlformats.org/officeDocument/2006/relationships/hyperlink" Target="https://tcpharyana.gov.in/CS_marking/LicenceGIS/CluIndex?CluNo=CLU/RK-1086A" TargetMode="External" Id="rId113"/><Relationship Type="http://schemas.openxmlformats.org/officeDocument/2006/relationships/hyperlink" Target="https://tcpharyana.gov.in/CS_marking/LicenceGIS/CluIndex?CluNo=CLU/RK-1095A" TargetMode="External" Id="rId114"/><Relationship Type="http://schemas.openxmlformats.org/officeDocument/2006/relationships/hyperlink" Target="https://tcpharyana.gov.in/CS_marking/LicenceGIS/CluIndex?CluNo=CLU/RK-1093A" TargetMode="External" Id="rId115"/><Relationship Type="http://schemas.openxmlformats.org/officeDocument/2006/relationships/hyperlink" Target="https://tcpharyana.gov.in/CS_marking/LicenceGIS/CluIndex?CluNo=CLU/RK-1077A" TargetMode="External" Id="rId116"/><Relationship Type="http://schemas.openxmlformats.org/officeDocument/2006/relationships/hyperlink" Target="https://tcpharyana.gov.in/CS_marking/LicenceGIS/CluIndex?CluNo=CLU/RK-1068A" TargetMode="External" Id="rId117"/><Relationship Type="http://schemas.openxmlformats.org/officeDocument/2006/relationships/hyperlink" Target="https://tcpharyana.gov.in/CS_marking/LicenceGIS/CluIndex?CluNo=CLU/RK-987A" TargetMode="External" Id="rId118"/><Relationship Type="http://schemas.openxmlformats.org/officeDocument/2006/relationships/hyperlink" Target="https://tcpharyana.gov.in/CS_marking/LicenceGIS/CluIndex?CluNo=CLU/RK-1045A" TargetMode="External" Id="rId119"/><Relationship Type="http://schemas.openxmlformats.org/officeDocument/2006/relationships/hyperlink" Target="https://tcpharyana.gov.in/CS_marking/LicenceGIS/CluIndex?CluNo=CLU/RK-1016A" TargetMode="External" Id="rId120"/><Relationship Type="http://schemas.openxmlformats.org/officeDocument/2006/relationships/hyperlink" Target="https://tcpharyana.gov.in/CS_marking/LicenceGIS/CluIndex?CluNo=CLU/RK-1021" TargetMode="External" Id="rId121"/><Relationship Type="http://schemas.openxmlformats.org/officeDocument/2006/relationships/hyperlink" Target="https://tcpharyana.gov.in/CS_marking/LicenceGIS/CluIndex?CluNo=CLU/ST-3889A" TargetMode="External" Id="rId122"/><Relationship Type="http://schemas.openxmlformats.org/officeDocument/2006/relationships/hyperlink" Target="https://tcpharyana.gov.in/CS_marking/LicenceGIS/CluIndex?CluNo=CLU/ST-3979A" TargetMode="External" Id="rId123"/><Relationship Type="http://schemas.openxmlformats.org/officeDocument/2006/relationships/hyperlink" Target="https://tcpharyana.gov.in/CS_marking/LicenceGIS/CluIndex?CluNo=CLU/ST-3773A" TargetMode="External" Id="rId124"/><Relationship Type="http://schemas.openxmlformats.org/officeDocument/2006/relationships/hyperlink" Target="https://tcpharyana.gov.in/CS_marking/LicenceGIS/CluIndex?CluNo=CLU/ST-3807A" TargetMode="External" Id="rId125"/><Relationship Type="http://schemas.openxmlformats.org/officeDocument/2006/relationships/hyperlink" Target="https://tcpharyana.gov.in/CS_marking/LicenceGIS/CluIndex?CluNo=CLU/ST-3853A" TargetMode="External" Id="rId126"/><Relationship Type="http://schemas.openxmlformats.org/officeDocument/2006/relationships/hyperlink" Target="https://tcpharyana.gov.in/CS_marking/LicenceGIS/CluIndex?CluNo=CLU/ST-3863A" TargetMode="External" Id="rId127"/><Relationship Type="http://schemas.openxmlformats.org/officeDocument/2006/relationships/hyperlink" Target="https://tcpharyana.gov.in/CS_marking/LicenceGIS/CluIndex?CluNo=CLU/ST-3796A" TargetMode="External" Id="rId128"/><Relationship Type="http://schemas.openxmlformats.org/officeDocument/2006/relationships/hyperlink" Target="https://tcpharyana.gov.in/CS_marking/LicenceGIS/CluIndex?CluNo=CLU/ST-3445A" TargetMode="External" Id="rId129"/><Relationship Type="http://schemas.openxmlformats.org/officeDocument/2006/relationships/hyperlink" Target="https://tcpharyana.gov.in/CS_marking/LicenceGIS/CluIndex?CluNo=CLU/ST-3559A" TargetMode="External" Id="rId130"/><Relationship Type="http://schemas.openxmlformats.org/officeDocument/2006/relationships/hyperlink" Target="https://tcpharyana.gov.in/CS_marking/LicenceGIS/CluIndex?CluNo=CLU/ST-3721A" TargetMode="External" Id="rId131"/><Relationship Type="http://schemas.openxmlformats.org/officeDocument/2006/relationships/hyperlink" Target="https://tcpharyana.gov.in/CS_marking/LicenceGIS/CluIndex?CluNo=CLU/ST-3606A" TargetMode="External" Id="rId132"/><Relationship Type="http://schemas.openxmlformats.org/officeDocument/2006/relationships/hyperlink" Target="https://tcpharyana.gov.in/CS_marking/LicenceGIS/CluIndex?CluNo=CLU/ST-3617A" TargetMode="External" Id="rId133"/><Relationship Type="http://schemas.openxmlformats.org/officeDocument/2006/relationships/hyperlink" Target="https://tcpharyana.gov.in/CS_marking/LicenceGIS/CluIndex?CluNo=CLU/ST-3695A" TargetMode="External" Id="rId134"/><Relationship Type="http://schemas.openxmlformats.org/officeDocument/2006/relationships/hyperlink" Target="https://tcpharyana.gov.in/CS_marking/LicenceGIS/CluIndex?CluNo=CLU/ST-3690A" TargetMode="External" Id="rId135"/><Relationship Type="http://schemas.openxmlformats.org/officeDocument/2006/relationships/hyperlink" Target="https://tcpharyana.gov.in/CS_marking/LicenceGIS/CluIndex?CluNo=CLU/ST-3459A" TargetMode="External" Id="rId136"/><Relationship Type="http://schemas.openxmlformats.org/officeDocument/2006/relationships/hyperlink" Target="https://tcpharyana.gov.in/CS_marking/LicenceGIS/CluIndex?CluNo=CLU/ST-2294C" TargetMode="External" Id="rId137"/><Relationship Type="http://schemas.openxmlformats.org/officeDocument/2006/relationships/hyperlink" Target="https://tcpharyana.gov.in/CS_marking/LicenceGIS/CluIndex?CluNo=CLU/ST-2483A" TargetMode="External" Id="rId138"/><Relationship Type="http://schemas.openxmlformats.org/officeDocument/2006/relationships/hyperlink" Target="https://tcpharyana.gov.in/CS_marking/LicenceGIS/CluIndex?CluNo=CLU/ST-2306" TargetMode="External" Id="rId139"/><Relationship Type="http://schemas.openxmlformats.org/officeDocument/2006/relationships/hyperlink" Target="https://tcpharyana.gov.in/CS_marking/LicenceGIS/CluIndex?CluNo=CLU/ST-2483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8" customWidth="1" min="4" max="4"/>
    <col width="26" customWidth="1" min="5" max="5"/>
    <col width="11" customWidth="1" min="6" max="6"/>
    <col width="11" customWidth="1" min="7" max="7"/>
    <col width="10" customWidth="1" min="8" max="8"/>
    <col width="12" customWidth="1" min="9" max="9"/>
    <col width="7" customWidth="1" min="10" max="10"/>
    <col width="9" customWidth="1" min="11" max="11"/>
    <col width="9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30" customWidth="1" min="18" max="18"/>
  </cols>
  <sheetData>
    <row r="1">
      <c r="A1" s="1" t="inlineStr">
        <is>
          <t>City</t>
        </is>
      </c>
      <c r="B1" s="1" t="inlineStr">
        <is>
          <t>CLU File No</t>
        </is>
      </c>
      <c r="C1" s="1" t="inlineStr">
        <is>
          <t>Applicant</t>
        </is>
      </c>
      <c r="D1" s="1" t="inlineStr">
        <is>
          <t>Village / Location</t>
        </is>
      </c>
      <c r="E1" s="1" t="inlineStr">
        <is>
          <t>Activity</t>
        </is>
      </c>
      <c r="F1" s="1" t="inlineStr">
        <is>
          <t>Category</t>
        </is>
      </c>
      <c r="G1" s="1" t="inlineStr">
        <is>
          <t>Area (sq m)</t>
        </is>
      </c>
      <c r="H1" s="1" t="inlineStr">
        <is>
          <t>Area (acres)</t>
        </is>
      </c>
      <c r="I1" s="1" t="inlineStr">
        <is>
          <t>Sanction Date</t>
        </is>
      </c>
      <c r="J1" s="1" t="inlineStr">
        <is>
          <t>Year</t>
        </is>
      </c>
      <c r="K1" s="1" t="inlineStr">
        <is>
          <t>Priority Score</t>
        </is>
      </c>
      <c r="L1" s="1" t="inlineStr">
        <is>
          <t>Priority Band</t>
        </is>
      </c>
      <c r="M1" s="1" t="inlineStr">
        <is>
          <t>Map (GIS)</t>
        </is>
      </c>
      <c r="N1" s="2" t="inlineStr">
        <is>
          <t>Status</t>
        </is>
      </c>
      <c r="O1" s="2" t="inlineStr">
        <is>
          <t>Owner / Contact</t>
        </is>
      </c>
      <c r="P1" s="2" t="inlineStr">
        <is>
          <t>Phone / Email</t>
        </is>
      </c>
      <c r="Q1" s="2" t="inlineStr">
        <is>
          <t>Next Step</t>
        </is>
      </c>
      <c r="R1" s="2" t="inlineStr">
        <is>
          <t>Notes</t>
        </is>
      </c>
    </row>
    <row r="2">
      <c r="A2" s="3" t="inlineStr">
        <is>
          <t>Ambala</t>
        </is>
      </c>
      <c r="B2" s="3" t="inlineStr">
        <is>
          <t>CLU/AA-860A</t>
        </is>
      </c>
      <c r="C2" s="3" t="inlineStr">
        <is>
          <t>AJAY SAREEN &amp; ANU SAREEN</t>
        </is>
      </c>
      <c r="D2" s="3" t="inlineStr">
        <is>
          <t>Mohra</t>
        </is>
      </c>
      <c r="E2" s="3" t="inlineStr">
        <is>
          <t>Motel with Banquet facility</t>
        </is>
      </c>
      <c r="F2" s="3" t="inlineStr">
        <is>
          <t>Motel</t>
        </is>
      </c>
      <c r="G2" s="4" t="n">
        <v>2795.7</v>
      </c>
      <c r="H2" s="5" t="n">
        <v>0.6908319042418072</v>
      </c>
      <c r="I2" s="3" t="inlineStr">
        <is>
          <t>11/03/2026</t>
        </is>
      </c>
      <c r="J2" s="3" t="inlineStr">
        <is>
          <t>2026</t>
        </is>
      </c>
      <c r="K2" s="3">
        <f>IF($F2="Hotel",5,IF($F2="Motel",4,IF($F2="Resort",4,IF($F2="Amusement",4,IF($F2="Banquet",3,2)))))+IF($H2&gt;=4,2,IF($H2&gt;=2,1,0))+IF(VALUE($J2)&gt;=2024,2,IF(VALUE($J2)&gt;=2021,1,0))</f>
        <v/>
      </c>
      <c r="L2" s="3">
        <f>IF($K2&gt;=7,"High",IF($K2&gt;=5,"Medium","Low"))</f>
        <v/>
      </c>
      <c r="M2" s="6" t="inlineStr">
        <is>
          <t>Map View</t>
        </is>
      </c>
      <c r="N2" s="7" t="inlineStr">
        <is>
          <t>New</t>
        </is>
      </c>
      <c r="O2" s="7" t="inlineStr"/>
      <c r="P2" s="7" t="inlineStr"/>
      <c r="Q2" s="7" t="inlineStr"/>
      <c r="R2" s="7" t="inlineStr"/>
    </row>
    <row r="3">
      <c r="A3" s="3" t="inlineStr">
        <is>
          <t>Ambala</t>
        </is>
      </c>
      <c r="B3" s="3" t="inlineStr">
        <is>
          <t>CLU/AA-806A</t>
        </is>
      </c>
      <c r="C3" s="3" t="inlineStr">
        <is>
          <t>CHANCHAL WADHAWAN</t>
        </is>
      </c>
      <c r="D3" s="3" t="inlineStr">
        <is>
          <t>Panjlass</t>
        </is>
      </c>
      <c r="E3" s="3" t="inlineStr">
        <is>
          <t>Hotel With Banquet facilities</t>
        </is>
      </c>
      <c r="F3" s="3" t="inlineStr">
        <is>
          <t>Hotel</t>
        </is>
      </c>
      <c r="G3" s="4" t="n">
        <v>4890.4</v>
      </c>
      <c r="H3" s="5" t="n">
        <v>1.208443089209906</v>
      </c>
      <c r="I3" s="3" t="inlineStr">
        <is>
          <t>19/03/2025</t>
        </is>
      </c>
      <c r="J3" s="3" t="inlineStr">
        <is>
          <t>2025</t>
        </is>
      </c>
      <c r="K3" s="3">
        <f>IF($F3="Hotel",5,IF($F3="Motel",4,IF($F3="Resort",4,IF($F3="Amusement",4,IF($F3="Banquet",3,2)))))+IF($H3&gt;=4,2,IF($H3&gt;=2,1,0))+IF(VALUE($J3)&gt;=2024,2,IF(VALUE($J3)&gt;=2021,1,0))</f>
        <v/>
      </c>
      <c r="L3" s="3">
        <f>IF($K3&gt;=7,"High",IF($K3&gt;=5,"Medium","Low"))</f>
        <v/>
      </c>
      <c r="M3" s="6" t="inlineStr">
        <is>
          <t>Map View</t>
        </is>
      </c>
      <c r="N3" s="7" t="inlineStr">
        <is>
          <t>New</t>
        </is>
      </c>
      <c r="O3" s="7" t="inlineStr"/>
      <c r="P3" s="7" t="inlineStr"/>
      <c r="Q3" s="7" t="inlineStr"/>
      <c r="R3" s="7" t="inlineStr"/>
    </row>
    <row r="4">
      <c r="A4" s="3" t="inlineStr">
        <is>
          <t>Ambala</t>
        </is>
      </c>
      <c r="B4" s="3" t="inlineStr">
        <is>
          <t>CLU/AA-780A</t>
        </is>
      </c>
      <c r="C4" s="3" t="inlineStr">
        <is>
          <t>Ashwani</t>
        </is>
      </c>
      <c r="D4" s="3" t="inlineStr">
        <is>
          <t>Mohra</t>
        </is>
      </c>
      <c r="E4" s="3" t="inlineStr">
        <is>
          <t>Hotel With Banquet facilities</t>
        </is>
      </c>
      <c r="F4" s="3" t="inlineStr">
        <is>
          <t>Hotel</t>
        </is>
      </c>
      <c r="G4" s="4" t="n">
        <v>14119.7</v>
      </c>
      <c r="H4" s="5" t="n">
        <v>3.489050770226793</v>
      </c>
      <c r="I4" s="3" t="inlineStr">
        <is>
          <t>18/10/2023</t>
        </is>
      </c>
      <c r="J4" s="3" t="inlineStr">
        <is>
          <t>2023</t>
        </is>
      </c>
      <c r="K4" s="3">
        <f>IF($F4="Hotel",5,IF($F4="Motel",4,IF($F4="Resort",4,IF($F4="Amusement",4,IF($F4="Banquet",3,2)))))+IF($H4&gt;=4,2,IF($H4&gt;=2,1,0))+IF(VALUE($J4)&gt;=2024,2,IF(VALUE($J4)&gt;=2021,1,0))</f>
        <v/>
      </c>
      <c r="L4" s="3">
        <f>IF($K4&gt;=7,"High",IF($K4&gt;=5,"Medium","Low"))</f>
        <v/>
      </c>
      <c r="M4" s="6" t="inlineStr">
        <is>
          <t>Map View</t>
        </is>
      </c>
      <c r="N4" s="7" t="inlineStr">
        <is>
          <t>Lead - verify</t>
        </is>
      </c>
      <c r="O4" s="7" t="inlineStr">
        <is>
          <t>UNVERIFIED: probable venue = Ambala Haveli, NH-44 GT Rd, village Mohra (restaurant+rooms+banquet, renovated 2020)</t>
        </is>
      </c>
      <c r="P4" s="7" t="inlineStr">
        <is>
          <t>info.ambalahaveli@gmail.com; +91 90505 66555; +91 90531 46555</t>
        </is>
      </c>
      <c r="Q4" s="7" t="inlineStr"/>
      <c r="R4" s="7" t="inlineStr">
        <is>
          <t>Ownership link to applicant not published — confirm by phone. Src: Booking/Facebook</t>
        </is>
      </c>
    </row>
    <row r="5">
      <c r="A5" s="3" t="inlineStr">
        <is>
          <t>Ambala</t>
        </is>
      </c>
      <c r="B5" s="3" t="inlineStr">
        <is>
          <t>CLU/AA-764A</t>
        </is>
      </c>
      <c r="C5" s="3" t="inlineStr">
        <is>
          <t>Ms NeKi Ram &amp; Sons</t>
        </is>
      </c>
      <c r="D5" s="3" t="inlineStr">
        <is>
          <t>Barnala</t>
        </is>
      </c>
      <c r="E5" s="3" t="inlineStr">
        <is>
          <t>Motel with Banquet facility</t>
        </is>
      </c>
      <c r="F5" s="3" t="inlineStr">
        <is>
          <t>Motel</t>
        </is>
      </c>
      <c r="G5" s="4" t="n">
        <v>8239.9</v>
      </c>
      <c r="H5" s="5" t="n">
        <v>2.036121832729573</v>
      </c>
      <c r="I5" s="3" t="inlineStr">
        <is>
          <t>06/07/2023</t>
        </is>
      </c>
      <c r="J5" s="3" t="inlineStr">
        <is>
          <t>2023</t>
        </is>
      </c>
      <c r="K5" s="3">
        <f>IF($F5="Hotel",5,IF($F5="Motel",4,IF($F5="Resort",4,IF($F5="Amusement",4,IF($F5="Banquet",3,2)))))+IF($H5&gt;=4,2,IF($H5&gt;=2,1,0))+IF(VALUE($J5)&gt;=2024,2,IF(VALUE($J5)&gt;=2021,1,0))</f>
        <v/>
      </c>
      <c r="L5" s="3">
        <f>IF($K5&gt;=7,"High",IF($K5&gt;=5,"Medium","Low"))</f>
        <v/>
      </c>
      <c r="M5" s="6" t="inlineStr">
        <is>
          <t>Map View</t>
        </is>
      </c>
      <c r="N5" s="7" t="inlineStr">
        <is>
          <t>New</t>
        </is>
      </c>
      <c r="O5" s="7" t="inlineStr"/>
      <c r="P5" s="7" t="inlineStr"/>
      <c r="Q5" s="7" t="inlineStr"/>
      <c r="R5" s="7" t="inlineStr"/>
    </row>
    <row r="6">
      <c r="A6" s="3" t="inlineStr">
        <is>
          <t>Ambala</t>
        </is>
      </c>
      <c r="B6" s="3" t="inlineStr">
        <is>
          <t>CLU/AA-751A</t>
        </is>
      </c>
      <c r="C6" s="3" t="inlineStr">
        <is>
          <t>LALIT KUMAR</t>
        </is>
      </c>
      <c r="D6" s="3" t="inlineStr">
        <is>
          <t>Laha</t>
        </is>
      </c>
      <c r="E6" s="3" t="inlineStr">
        <is>
          <t>Motel with Banquet facility</t>
        </is>
      </c>
      <c r="F6" s="3" t="inlineStr">
        <is>
          <t>Motel</t>
        </is>
      </c>
      <c r="G6" s="4" t="n">
        <v>7668.5</v>
      </c>
      <c r="H6" s="5" t="n">
        <v>1.894925942582644</v>
      </c>
      <c r="I6" s="3" t="inlineStr">
        <is>
          <t>08/11/2023</t>
        </is>
      </c>
      <c r="J6" s="3" t="inlineStr">
        <is>
          <t>2023</t>
        </is>
      </c>
      <c r="K6" s="3">
        <f>IF($F6="Hotel",5,IF($F6="Motel",4,IF($F6="Resort",4,IF($F6="Amusement",4,IF($F6="Banquet",3,2)))))+IF($H6&gt;=4,2,IF($H6&gt;=2,1,0))+IF(VALUE($J6)&gt;=2024,2,IF(VALUE($J6)&gt;=2021,1,0))</f>
        <v/>
      </c>
      <c r="L6" s="3">
        <f>IF($K6&gt;=7,"High",IF($K6&gt;=5,"Medium","Low"))</f>
        <v/>
      </c>
      <c r="M6" s="6" t="inlineStr">
        <is>
          <t>Map View</t>
        </is>
      </c>
      <c r="N6" s="7" t="inlineStr">
        <is>
          <t>New</t>
        </is>
      </c>
      <c r="O6" s="7" t="inlineStr"/>
      <c r="P6" s="7" t="inlineStr"/>
      <c r="Q6" s="7" t="inlineStr"/>
      <c r="R6" s="7" t="inlineStr"/>
    </row>
    <row r="7">
      <c r="A7" s="3" t="inlineStr">
        <is>
          <t>Ambala</t>
        </is>
      </c>
      <c r="B7" s="3" t="inlineStr">
        <is>
          <t>CLU/AA-723A</t>
        </is>
      </c>
      <c r="C7" s="3" t="inlineStr">
        <is>
          <t>Smt. Sneh Jain Wo Late Sh. Pawan K. Jain</t>
        </is>
      </c>
      <c r="D7" s="3" t="inlineStr">
        <is>
          <t>Khudda Kalan</t>
        </is>
      </c>
      <c r="E7" s="3" t="inlineStr">
        <is>
          <t>Farm house</t>
        </is>
      </c>
      <c r="F7" s="3" t="inlineStr">
        <is>
          <t>Farmhouse</t>
        </is>
      </c>
      <c r="G7" s="4" t="n">
        <v>25</v>
      </c>
      <c r="H7" s="5" t="n">
        <v>0.006177629075381901</v>
      </c>
      <c r="I7" s="3" t="inlineStr">
        <is>
          <t>10/05/2021</t>
        </is>
      </c>
      <c r="J7" s="3" t="inlineStr">
        <is>
          <t>2021</t>
        </is>
      </c>
      <c r="K7" s="3">
        <f>IF($F7="Hotel",5,IF($F7="Motel",4,IF($F7="Resort",4,IF($F7="Amusement",4,IF($F7="Banquet",3,2)))))+IF($H7&gt;=4,2,IF($H7&gt;=2,1,0))+IF(VALUE($J7)&gt;=2024,2,IF(VALUE($J7)&gt;=2021,1,0))</f>
        <v/>
      </c>
      <c r="L7" s="3">
        <f>IF($K7&gt;=7,"High",IF($K7&gt;=5,"Medium","Low"))</f>
        <v/>
      </c>
      <c r="M7" s="6" t="inlineStr">
        <is>
          <t>Map View</t>
        </is>
      </c>
      <c r="N7" s="7" t="inlineStr">
        <is>
          <t>New</t>
        </is>
      </c>
      <c r="O7" s="7" t="inlineStr"/>
      <c r="P7" s="7" t="inlineStr"/>
      <c r="Q7" s="7" t="inlineStr"/>
      <c r="R7" s="7" t="inlineStr"/>
    </row>
    <row r="8">
      <c r="A8" s="3" t="inlineStr">
        <is>
          <t>Ambala</t>
        </is>
      </c>
      <c r="B8" s="3" t="inlineStr">
        <is>
          <t>CLU/AA-674</t>
        </is>
      </c>
      <c r="C8" s="3" t="inlineStr">
        <is>
          <t>Sh. Raminder Dang S/o Sh. Jagan Nath</t>
        </is>
      </c>
      <c r="D8" s="3" t="inlineStr">
        <is>
          <t>Village Khuda Kalan</t>
        </is>
      </c>
      <c r="E8" s="3" t="inlineStr">
        <is>
          <t>Banquet Hall</t>
        </is>
      </c>
      <c r="F8" s="3" t="inlineStr">
        <is>
          <t>Banquet</t>
        </is>
      </c>
      <c r="G8" s="4" t="n"/>
      <c r="H8" s="5" t="n"/>
      <c r="I8" s="3" t="inlineStr">
        <is>
          <t>24/05/2019</t>
        </is>
      </c>
      <c r="J8" s="3" t="inlineStr">
        <is>
          <t>2019</t>
        </is>
      </c>
      <c r="K8" s="3">
        <f>IF($F8="Hotel",5,IF($F8="Motel",4,IF($F8="Resort",4,IF($F8="Amusement",4,IF($F8="Banquet",3,2)))))+IF($H8&gt;=4,2,IF($H8&gt;=2,1,0))+IF(VALUE($J8)&gt;=2024,2,IF(VALUE($J8)&gt;=2021,1,0))</f>
        <v/>
      </c>
      <c r="L8" s="3">
        <f>IF($K8&gt;=7,"High",IF($K8&gt;=5,"Medium","Low"))</f>
        <v/>
      </c>
      <c r="M8" s="6" t="inlineStr">
        <is>
          <t>Map View</t>
        </is>
      </c>
      <c r="N8" s="7" t="inlineStr">
        <is>
          <t>New</t>
        </is>
      </c>
      <c r="O8" s="7" t="inlineStr"/>
      <c r="P8" s="7" t="inlineStr"/>
      <c r="Q8" s="7" t="inlineStr"/>
      <c r="R8" s="7" t="inlineStr"/>
    </row>
    <row r="9">
      <c r="A9" s="3" t="inlineStr">
        <is>
          <t>Ambala</t>
        </is>
      </c>
      <c r="B9" s="3" t="inlineStr">
        <is>
          <t>CLU/AA-657</t>
        </is>
      </c>
      <c r="C9" s="3" t="inlineStr">
        <is>
          <t>Sh. Hartej Singh S/o Sh. Twinderjit Singh &amp; others</t>
        </is>
      </c>
      <c r="D9" s="3" t="inlineStr">
        <is>
          <t>Ambala Cantt.</t>
        </is>
      </c>
      <c r="E9" s="3" t="inlineStr">
        <is>
          <t>Amusement Park/ Restaurant</t>
        </is>
      </c>
      <c r="F9" s="3" t="inlineStr">
        <is>
          <t>Amusement</t>
        </is>
      </c>
      <c r="G9" s="4" t="n"/>
      <c r="H9" s="5" t="n"/>
      <c r="I9" s="3" t="inlineStr">
        <is>
          <t>19/04/2018</t>
        </is>
      </c>
      <c r="J9" s="3" t="inlineStr">
        <is>
          <t>2018</t>
        </is>
      </c>
      <c r="K9" s="3">
        <f>IF($F9="Hotel",5,IF($F9="Motel",4,IF($F9="Resort",4,IF($F9="Amusement",4,IF($F9="Banquet",3,2)))))+IF($H9&gt;=4,2,IF($H9&gt;=2,1,0))+IF(VALUE($J9)&gt;=2024,2,IF(VALUE($J9)&gt;=2021,1,0))</f>
        <v/>
      </c>
      <c r="L9" s="3">
        <f>IF($K9&gt;=7,"High",IF($K9&gt;=5,"Medium","Low"))</f>
        <v/>
      </c>
      <c r="M9" s="6" t="inlineStr">
        <is>
          <t>Map View</t>
        </is>
      </c>
      <c r="N9" s="7" t="inlineStr">
        <is>
          <t>New</t>
        </is>
      </c>
      <c r="O9" s="7" t="inlineStr"/>
      <c r="P9" s="7" t="inlineStr"/>
      <c r="Q9" s="7" t="inlineStr"/>
      <c r="R9" s="7" t="inlineStr"/>
    </row>
    <row r="10">
      <c r="A10" s="3" t="inlineStr">
        <is>
          <t>Ambala</t>
        </is>
      </c>
      <c r="B10" s="3" t="inlineStr">
        <is>
          <t>CLU/AA-618</t>
        </is>
      </c>
      <c r="C10" s="3" t="inlineStr">
        <is>
          <t>Sh. Jasmer Singh, Sh. Parminder Singh, Sh. Gurdev Singh, Sh. Sukhchain Singh, Smt. Balwinder Kaur, Sh. Gagandeep Singh-Gurkirat Singh, Smt. Tejinder Kaur (Earlier in the name of Sh. Harbans Singh S/o Sh. Kartar Singh)</t>
        </is>
      </c>
      <c r="D10" s="3" t="inlineStr">
        <is>
          <t>Ambala</t>
        </is>
      </c>
      <c r="E10" s="3" t="inlineStr">
        <is>
          <t>Farmhouse</t>
        </is>
      </c>
      <c r="F10" s="3" t="inlineStr">
        <is>
          <t>Farmhouse</t>
        </is>
      </c>
      <c r="G10" s="4" t="n"/>
      <c r="H10" s="5" t="n"/>
      <c r="I10" s="3" t="inlineStr">
        <is>
          <t>01/03/2017</t>
        </is>
      </c>
      <c r="J10" s="3" t="inlineStr">
        <is>
          <t>2017</t>
        </is>
      </c>
      <c r="K10" s="3">
        <f>IF($F10="Hotel",5,IF($F10="Motel",4,IF($F10="Resort",4,IF($F10="Amusement",4,IF($F10="Banquet",3,2)))))+IF($H10&gt;=4,2,IF($H10&gt;=2,1,0))+IF(VALUE($J10)&gt;=2024,2,IF(VALUE($J10)&gt;=2021,1,0))</f>
        <v/>
      </c>
      <c r="L10" s="3">
        <f>IF($K10&gt;=7,"High",IF($K10&gt;=5,"Medium","Low"))</f>
        <v/>
      </c>
      <c r="M10" s="6" t="inlineStr">
        <is>
          <t>Map View</t>
        </is>
      </c>
      <c r="N10" s="7" t="inlineStr">
        <is>
          <t>New</t>
        </is>
      </c>
      <c r="O10" s="7" t="inlineStr"/>
      <c r="P10" s="7" t="inlineStr"/>
      <c r="Q10" s="7" t="inlineStr"/>
      <c r="R10" s="7" t="inlineStr"/>
    </row>
    <row r="11">
      <c r="A11" s="3" t="inlineStr">
        <is>
          <t>Ambala</t>
        </is>
      </c>
      <c r="B11" s="3" t="inlineStr">
        <is>
          <t>CLU/AA-643</t>
        </is>
      </c>
      <c r="C11" s="3" t="inlineStr">
        <is>
          <t>Sh. Naresh Kapoor S/o Sh. Madan Lal Kapoor C/o Kapoor Handloom Industries</t>
        </is>
      </c>
      <c r="D11" s="3" t="inlineStr">
        <is>
          <t>Ambala</t>
        </is>
      </c>
      <c r="E11" s="3" t="inlineStr">
        <is>
          <t>Banquet Hall</t>
        </is>
      </c>
      <c r="F11" s="3" t="inlineStr">
        <is>
          <t>Banquet</t>
        </is>
      </c>
      <c r="G11" s="4" t="n"/>
      <c r="H11" s="5" t="n"/>
      <c r="I11" s="3" t="inlineStr">
        <is>
          <t>19/06/2017</t>
        </is>
      </c>
      <c r="J11" s="3" t="inlineStr">
        <is>
          <t>2017</t>
        </is>
      </c>
      <c r="K11" s="3">
        <f>IF($F11="Hotel",5,IF($F11="Motel",4,IF($F11="Resort",4,IF($F11="Amusement",4,IF($F11="Banquet",3,2)))))+IF($H11&gt;=4,2,IF($H11&gt;=2,1,0))+IF(VALUE($J11)&gt;=2024,2,IF(VALUE($J11)&gt;=2021,1,0))</f>
        <v/>
      </c>
      <c r="L11" s="3">
        <f>IF($K11&gt;=7,"High",IF($K11&gt;=5,"Medium","Low"))</f>
        <v/>
      </c>
      <c r="M11" s="6" t="inlineStr">
        <is>
          <t>Map View</t>
        </is>
      </c>
      <c r="N11" s="7" t="inlineStr">
        <is>
          <t>New</t>
        </is>
      </c>
      <c r="O11" s="7" t="inlineStr"/>
      <c r="P11" s="7" t="inlineStr"/>
      <c r="Q11" s="7" t="inlineStr"/>
      <c r="R11" s="7" t="inlineStr"/>
    </row>
    <row r="12">
      <c r="A12" s="3" t="inlineStr">
        <is>
          <t>Ambala</t>
        </is>
      </c>
      <c r="B12" s="3" t="inlineStr">
        <is>
          <t>CLU/AA-652</t>
        </is>
      </c>
      <c r="C12" s="3" t="inlineStr">
        <is>
          <t>Sh. Hartej Singh S/o Sh. Inderjeet Singh, Sh. Tawinderjeet Singh S/o Sh. Daya Singh, Smt. Gurpreet Kaur W/o Sh. Tawinderjeet Singh</t>
        </is>
      </c>
      <c r="D12" s="3" t="inlineStr">
        <is>
          <t>Ambala</t>
        </is>
      </c>
      <c r="E12" s="3" t="inlineStr">
        <is>
          <t>Amusement Park and Food Court (Recreational Centre)</t>
        </is>
      </c>
      <c r="F12" s="3" t="inlineStr">
        <is>
          <t>Amusement</t>
        </is>
      </c>
      <c r="G12" s="4" t="n"/>
      <c r="H12" s="5" t="n"/>
      <c r="I12" s="3" t="inlineStr">
        <is>
          <t>28/11/2017</t>
        </is>
      </c>
      <c r="J12" s="3" t="inlineStr">
        <is>
          <t>2017</t>
        </is>
      </c>
      <c r="K12" s="3">
        <f>IF($F12="Hotel",5,IF($F12="Motel",4,IF($F12="Resort",4,IF($F12="Amusement",4,IF($F12="Banquet",3,2)))))+IF($H12&gt;=4,2,IF($H12&gt;=2,1,0))+IF(VALUE($J12)&gt;=2024,2,IF(VALUE($J12)&gt;=2021,1,0))</f>
        <v/>
      </c>
      <c r="L12" s="3">
        <f>IF($K12&gt;=7,"High",IF($K12&gt;=5,"Medium","Low"))</f>
        <v/>
      </c>
      <c r="M12" s="6" t="inlineStr">
        <is>
          <t>Map View</t>
        </is>
      </c>
      <c r="N12" s="7" t="inlineStr">
        <is>
          <t>New</t>
        </is>
      </c>
      <c r="O12" s="7" t="inlineStr"/>
      <c r="P12" s="7" t="inlineStr"/>
      <c r="Q12" s="7" t="inlineStr"/>
      <c r="R12" s="7" t="inlineStr"/>
    </row>
    <row r="13">
      <c r="A13" s="3" t="inlineStr">
        <is>
          <t>Hisar</t>
        </is>
      </c>
      <c r="B13" s="3" t="inlineStr">
        <is>
          <t>CLU/HR-1368A</t>
        </is>
      </c>
      <c r="C13" s="3" t="inlineStr">
        <is>
          <t>Raj Kumar</t>
        </is>
      </c>
      <c r="D13" s="3" t="inlineStr">
        <is>
          <t>Satrod khas</t>
        </is>
      </c>
      <c r="E13" s="3" t="inlineStr">
        <is>
          <t>Hotel-cum-Resort</t>
        </is>
      </c>
      <c r="F13" s="3" t="inlineStr">
        <is>
          <t>Hotel</t>
        </is>
      </c>
      <c r="G13" s="4" t="n">
        <v>26810.2</v>
      </c>
      <c r="H13" s="5" t="n">
        <v>6.624938841472154</v>
      </c>
      <c r="I13" s="3" t="inlineStr">
        <is>
          <t>13/04/2026</t>
        </is>
      </c>
      <c r="J13" s="3" t="inlineStr">
        <is>
          <t>2026</t>
        </is>
      </c>
      <c r="K13" s="3">
        <f>IF($F13="Hotel",5,IF($F13="Motel",4,IF($F13="Resort",4,IF($F13="Amusement",4,IF($F13="Banquet",3,2)))))+IF($H13&gt;=4,2,IF($H13&gt;=2,1,0))+IF(VALUE($J13)&gt;=2024,2,IF(VALUE($J13)&gt;=2021,1,0))</f>
        <v/>
      </c>
      <c r="L13" s="3">
        <f>IF($K13&gt;=7,"High",IF($K13&gt;=5,"Medium","Low"))</f>
        <v/>
      </c>
      <c r="M13" s="6" t="inlineStr">
        <is>
          <t>Map View</t>
        </is>
      </c>
      <c r="N13" s="7" t="inlineStr">
        <is>
          <t>New</t>
        </is>
      </c>
      <c r="O13" s="7" t="inlineStr"/>
      <c r="P13" s="7" t="inlineStr"/>
      <c r="Q13" s="7" t="inlineStr"/>
      <c r="R13" s="7" t="inlineStr"/>
    </row>
    <row r="14">
      <c r="A14" s="3" t="inlineStr">
        <is>
          <t>Hisar</t>
        </is>
      </c>
      <c r="B14" s="3" t="inlineStr">
        <is>
          <t>CLU/HR-1391A</t>
        </is>
      </c>
      <c r="C14" s="3" t="inlineStr">
        <is>
          <t>Ved Parkash And Smt. Aarti Sardana</t>
        </is>
      </c>
      <c r="D14" s="3" t="inlineStr">
        <is>
          <t>Kaimri</t>
        </is>
      </c>
      <c r="E14" s="3" t="inlineStr">
        <is>
          <t>Farm house</t>
        </is>
      </c>
      <c r="F14" s="3" t="inlineStr">
        <is>
          <t>Farmhouse</t>
        </is>
      </c>
      <c r="G14" s="4" t="n">
        <v>6045</v>
      </c>
      <c r="H14" s="5" t="n">
        <v>1.493750710427344</v>
      </c>
      <c r="I14" s="3" t="inlineStr">
        <is>
          <t>03/07/2026</t>
        </is>
      </c>
      <c r="J14" s="3" t="inlineStr">
        <is>
          <t>2026</t>
        </is>
      </c>
      <c r="K14" s="3">
        <f>IF($F14="Hotel",5,IF($F14="Motel",4,IF($F14="Resort",4,IF($F14="Amusement",4,IF($F14="Banquet",3,2)))))+IF($H14&gt;=4,2,IF($H14&gt;=2,1,0))+IF(VALUE($J14)&gt;=2024,2,IF(VALUE($J14)&gt;=2021,1,0))</f>
        <v/>
      </c>
      <c r="L14" s="3">
        <f>IF($K14&gt;=7,"High",IF($K14&gt;=5,"Medium","Low"))</f>
        <v/>
      </c>
      <c r="M14" s="6" t="inlineStr">
        <is>
          <t>Map View</t>
        </is>
      </c>
      <c r="N14" s="7" t="inlineStr">
        <is>
          <t>New</t>
        </is>
      </c>
      <c r="O14" s="7" t="inlineStr"/>
      <c r="P14" s="7" t="inlineStr"/>
      <c r="Q14" s="7" t="inlineStr"/>
      <c r="R14" s="7" t="inlineStr"/>
    </row>
    <row r="15">
      <c r="A15" s="3" t="inlineStr">
        <is>
          <t>Hisar</t>
        </is>
      </c>
      <c r="B15" s="3" t="inlineStr">
        <is>
          <t>CLU/HR-1415A</t>
        </is>
      </c>
      <c r="C15" s="3" t="inlineStr">
        <is>
          <t>Om Pati Kusum Modi Seema Modi Renu Modi</t>
        </is>
      </c>
      <c r="D15" s="3" t="inlineStr">
        <is>
          <t>Mayar</t>
        </is>
      </c>
      <c r="E15" s="3" t="inlineStr">
        <is>
          <t>Hotel With Banquet facilities</t>
        </is>
      </c>
      <c r="F15" s="3" t="inlineStr">
        <is>
          <t>Hotel</t>
        </is>
      </c>
      <c r="G15" s="4" t="n">
        <v>5720.5</v>
      </c>
      <c r="H15" s="5" t="n">
        <v>1.413565085028887</v>
      </c>
      <c r="I15" s="3" t="inlineStr">
        <is>
          <t>28/07/2026</t>
        </is>
      </c>
      <c r="J15" s="3" t="inlineStr">
        <is>
          <t>2026</t>
        </is>
      </c>
      <c r="K15" s="3">
        <f>IF($F15="Hotel",5,IF($F15="Motel",4,IF($F15="Resort",4,IF($F15="Amusement",4,IF($F15="Banquet",3,2)))))+IF($H15&gt;=4,2,IF($H15&gt;=2,1,0))+IF(VALUE($J15)&gt;=2024,2,IF(VALUE($J15)&gt;=2021,1,0))</f>
        <v/>
      </c>
      <c r="L15" s="3">
        <f>IF($K15&gt;=7,"High",IF($K15&gt;=5,"Medium","Low"))</f>
        <v/>
      </c>
      <c r="M15" s="6" t="inlineStr">
        <is>
          <t>Map View</t>
        </is>
      </c>
      <c r="N15" s="7" t="inlineStr">
        <is>
          <t>New</t>
        </is>
      </c>
      <c r="O15" s="7" t="inlineStr"/>
      <c r="P15" s="7" t="inlineStr"/>
      <c r="Q15" s="7" t="inlineStr"/>
      <c r="R15" s="7" t="inlineStr"/>
    </row>
    <row r="16">
      <c r="A16" s="3" t="inlineStr">
        <is>
          <t>Hisar</t>
        </is>
      </c>
      <c r="B16" s="3" t="inlineStr">
        <is>
          <t>CLU/HR-1398A</t>
        </is>
      </c>
      <c r="C16" s="3" t="inlineStr">
        <is>
          <t>veena rani and deepak kumar</t>
        </is>
      </c>
      <c r="D16" s="3" t="inlineStr">
        <is>
          <t>Prabhuwala</t>
        </is>
      </c>
      <c r="E16" s="3" t="inlineStr">
        <is>
          <t>Motel with Banquet facility</t>
        </is>
      </c>
      <c r="F16" s="3" t="inlineStr">
        <is>
          <t>Motel</t>
        </is>
      </c>
      <c r="G16" s="4" t="n">
        <v>2697.3</v>
      </c>
      <c r="H16" s="5" t="n">
        <v>0.6665167562011041</v>
      </c>
      <c r="I16" s="3" t="inlineStr">
        <is>
          <t>09/06/2026</t>
        </is>
      </c>
      <c r="J16" s="3" t="inlineStr">
        <is>
          <t>2026</t>
        </is>
      </c>
      <c r="K16" s="3">
        <f>IF($F16="Hotel",5,IF($F16="Motel",4,IF($F16="Resort",4,IF($F16="Amusement",4,IF($F16="Banquet",3,2)))))+IF($H16&gt;=4,2,IF($H16&gt;=2,1,0))+IF(VALUE($J16)&gt;=2024,2,IF(VALUE($J16)&gt;=2021,1,0))</f>
        <v/>
      </c>
      <c r="L16" s="3">
        <f>IF($K16&gt;=7,"High",IF($K16&gt;=5,"Medium","Low"))</f>
        <v/>
      </c>
      <c r="M16" s="6" t="inlineStr">
        <is>
          <t>Map View</t>
        </is>
      </c>
      <c r="N16" s="7" t="inlineStr">
        <is>
          <t>New</t>
        </is>
      </c>
      <c r="O16" s="7" t="inlineStr"/>
      <c r="P16" s="7" t="inlineStr"/>
      <c r="Q16" s="7" t="inlineStr"/>
      <c r="R16" s="7" t="inlineStr"/>
    </row>
    <row r="17">
      <c r="A17" s="3" t="inlineStr">
        <is>
          <t>Hisar</t>
        </is>
      </c>
      <c r="B17" s="3" t="inlineStr">
        <is>
          <t>CLU/HR-1388A</t>
        </is>
      </c>
      <c r="C17" s="3" t="inlineStr">
        <is>
          <t>Jagdish</t>
        </is>
      </c>
      <c r="D17" s="3" t="inlineStr">
        <is>
          <t>Gaibipur</t>
        </is>
      </c>
      <c r="E17" s="3" t="inlineStr">
        <is>
          <t>Motel with Banquet facility</t>
        </is>
      </c>
      <c r="F17" s="3" t="inlineStr">
        <is>
          <t>Motel</t>
        </is>
      </c>
      <c r="G17" s="4" t="n">
        <v>2018.6</v>
      </c>
      <c r="H17" s="5" t="n">
        <v>0.4988064820626362</v>
      </c>
      <c r="I17" s="3" t="inlineStr">
        <is>
          <t>05/03/2026</t>
        </is>
      </c>
      <c r="J17" s="3" t="inlineStr">
        <is>
          <t>2026</t>
        </is>
      </c>
      <c r="K17" s="3">
        <f>IF($F17="Hotel",5,IF($F17="Motel",4,IF($F17="Resort",4,IF($F17="Amusement",4,IF($F17="Banquet",3,2)))))+IF($H17&gt;=4,2,IF($H17&gt;=2,1,0))+IF(VALUE($J17)&gt;=2024,2,IF(VALUE($J17)&gt;=2021,1,0))</f>
        <v/>
      </c>
      <c r="L17" s="3">
        <f>IF($K17&gt;=7,"High",IF($K17&gt;=5,"Medium","Low"))</f>
        <v/>
      </c>
      <c r="M17" s="6" t="inlineStr">
        <is>
          <t>Map View</t>
        </is>
      </c>
      <c r="N17" s="7" t="inlineStr">
        <is>
          <t>New</t>
        </is>
      </c>
      <c r="O17" s="7" t="inlineStr"/>
      <c r="P17" s="7" t="inlineStr"/>
      <c r="Q17" s="7" t="inlineStr"/>
      <c r="R17" s="7" t="inlineStr"/>
    </row>
    <row r="18">
      <c r="A18" s="3" t="inlineStr">
        <is>
          <t>Hisar</t>
        </is>
      </c>
      <c r="B18" s="3" t="inlineStr">
        <is>
          <t>CLU/HR-1350A</t>
        </is>
      </c>
      <c r="C18" s="3" t="inlineStr">
        <is>
          <t>Anil Kumar</t>
        </is>
      </c>
      <c r="D18" s="3" t="inlineStr">
        <is>
          <t>Raipur</t>
        </is>
      </c>
      <c r="E18" s="3" t="inlineStr">
        <is>
          <t>Farm house</t>
        </is>
      </c>
      <c r="F18" s="3" t="inlineStr">
        <is>
          <t>Farmhouse</t>
        </is>
      </c>
      <c r="G18" s="4" t="n">
        <v>7309.6</v>
      </c>
      <c r="H18" s="5" t="n">
        <v>1.806239899576462</v>
      </c>
      <c r="I18" s="3" t="inlineStr">
        <is>
          <t>01/10/2025</t>
        </is>
      </c>
      <c r="J18" s="3" t="inlineStr">
        <is>
          <t>2025</t>
        </is>
      </c>
      <c r="K18" s="3">
        <f>IF($F18="Hotel",5,IF($F18="Motel",4,IF($F18="Resort",4,IF($F18="Amusement",4,IF($F18="Banquet",3,2)))))+IF($H18&gt;=4,2,IF($H18&gt;=2,1,0))+IF(VALUE($J18)&gt;=2024,2,IF(VALUE($J18)&gt;=2021,1,0))</f>
        <v/>
      </c>
      <c r="L18" s="3">
        <f>IF($K18&gt;=7,"High",IF($K18&gt;=5,"Medium","Low"))</f>
        <v/>
      </c>
      <c r="M18" s="6" t="inlineStr">
        <is>
          <t>Map View</t>
        </is>
      </c>
      <c r="N18" s="7" t="inlineStr">
        <is>
          <t>New</t>
        </is>
      </c>
      <c r="O18" s="7" t="inlineStr"/>
      <c r="P18" s="7" t="inlineStr"/>
      <c r="Q18" s="7" t="inlineStr"/>
      <c r="R18" s="7" t="inlineStr"/>
    </row>
    <row r="19">
      <c r="A19" s="3" t="inlineStr">
        <is>
          <t>Hisar</t>
        </is>
      </c>
      <c r="B19" s="3" t="inlineStr">
        <is>
          <t>CLU/HR-1352A</t>
        </is>
      </c>
      <c r="C19" s="3" t="inlineStr">
        <is>
          <t>Parveen and Pormila</t>
        </is>
      </c>
      <c r="D19" s="3" t="inlineStr">
        <is>
          <t>Sarsod</t>
        </is>
      </c>
      <c r="E19" s="3" t="inlineStr">
        <is>
          <t>Hotel With Banquet facilities</t>
        </is>
      </c>
      <c r="F19" s="3" t="inlineStr">
        <is>
          <t>Hotel</t>
        </is>
      </c>
      <c r="G19" s="4" t="n">
        <v>6097</v>
      </c>
      <c r="H19" s="5" t="n">
        <v>1.506600178904138</v>
      </c>
      <c r="I19" s="3" t="inlineStr">
        <is>
          <t>20/11/2025</t>
        </is>
      </c>
      <c r="J19" s="3" t="inlineStr">
        <is>
          <t>2025</t>
        </is>
      </c>
      <c r="K19" s="3">
        <f>IF($F19="Hotel",5,IF($F19="Motel",4,IF($F19="Resort",4,IF($F19="Amusement",4,IF($F19="Banquet",3,2)))))+IF($H19&gt;=4,2,IF($H19&gt;=2,1,0))+IF(VALUE($J19)&gt;=2024,2,IF(VALUE($J19)&gt;=2021,1,0))</f>
        <v/>
      </c>
      <c r="L19" s="3">
        <f>IF($K19&gt;=7,"High",IF($K19&gt;=5,"Medium","Low"))</f>
        <v/>
      </c>
      <c r="M19" s="6" t="inlineStr">
        <is>
          <t>Map View</t>
        </is>
      </c>
      <c r="N19" s="7" t="inlineStr">
        <is>
          <t>New</t>
        </is>
      </c>
      <c r="O19" s="7" t="inlineStr"/>
      <c r="P19" s="7" t="inlineStr"/>
      <c r="Q19" s="7" t="inlineStr"/>
      <c r="R19" s="7" t="inlineStr"/>
    </row>
    <row r="20">
      <c r="A20" s="3" t="inlineStr">
        <is>
          <t>Hisar</t>
        </is>
      </c>
      <c r="B20" s="3" t="inlineStr">
        <is>
          <t>CLU/HR-1309A</t>
        </is>
      </c>
      <c r="C20" s="3" t="inlineStr">
        <is>
          <t>Niti Garg &amp; others</t>
        </is>
      </c>
      <c r="D20" s="3" t="inlineStr">
        <is>
          <t>Chickenwas</t>
        </is>
      </c>
      <c r="E20" s="3" t="inlineStr">
        <is>
          <t>Farm house</t>
        </is>
      </c>
      <c r="F20" s="3" t="inlineStr">
        <is>
          <t>Farmhouse</t>
        </is>
      </c>
      <c r="G20" s="4" t="n">
        <v>5674.2</v>
      </c>
      <c r="H20" s="5" t="n">
        <v>1.402124115981279</v>
      </c>
      <c r="I20" s="3" t="inlineStr">
        <is>
          <t>21/04/2025</t>
        </is>
      </c>
      <c r="J20" s="3" t="inlineStr">
        <is>
          <t>2025</t>
        </is>
      </c>
      <c r="K20" s="3">
        <f>IF($F20="Hotel",5,IF($F20="Motel",4,IF($F20="Resort",4,IF($F20="Amusement",4,IF($F20="Banquet",3,2)))))+IF($H20&gt;=4,2,IF($H20&gt;=2,1,0))+IF(VALUE($J20)&gt;=2024,2,IF(VALUE($J20)&gt;=2021,1,0))</f>
        <v/>
      </c>
      <c r="L20" s="3">
        <f>IF($K20&gt;=7,"High",IF($K20&gt;=5,"Medium","Low"))</f>
        <v/>
      </c>
      <c r="M20" s="6" t="inlineStr">
        <is>
          <t>Map View</t>
        </is>
      </c>
      <c r="N20" s="7" t="inlineStr">
        <is>
          <t>New</t>
        </is>
      </c>
      <c r="O20" s="7" t="inlineStr"/>
      <c r="P20" s="7" t="inlineStr"/>
      <c r="Q20" s="7" t="inlineStr"/>
      <c r="R20" s="7" t="inlineStr"/>
    </row>
    <row r="21">
      <c r="A21" s="3" t="inlineStr">
        <is>
          <t>Hisar</t>
        </is>
      </c>
      <c r="B21" s="3" t="inlineStr">
        <is>
          <t>CLU/HR-1282A</t>
        </is>
      </c>
      <c r="C21" s="3" t="inlineStr">
        <is>
          <t>Sunil Kumar</t>
        </is>
      </c>
      <c r="D21" s="3" t="inlineStr">
        <is>
          <t>Mayar</t>
        </is>
      </c>
      <c r="E21" s="3" t="inlineStr">
        <is>
          <t>Motel with Banquet facility</t>
        </is>
      </c>
      <c r="F21" s="3" t="inlineStr">
        <is>
          <t>Motel</t>
        </is>
      </c>
      <c r="G21" s="4" t="n">
        <v>2001.3</v>
      </c>
      <c r="H21" s="5" t="n">
        <v>0.4945315627424719</v>
      </c>
      <c r="I21" s="3" t="inlineStr">
        <is>
          <t>10/11/2025</t>
        </is>
      </c>
      <c r="J21" s="3" t="inlineStr">
        <is>
          <t>2025</t>
        </is>
      </c>
      <c r="K21" s="3">
        <f>IF($F21="Hotel",5,IF($F21="Motel",4,IF($F21="Resort",4,IF($F21="Amusement",4,IF($F21="Banquet",3,2)))))+IF($H21&gt;=4,2,IF($H21&gt;=2,1,0))+IF(VALUE($J21)&gt;=2024,2,IF(VALUE($J21)&gt;=2021,1,0))</f>
        <v/>
      </c>
      <c r="L21" s="3">
        <f>IF($K21&gt;=7,"High",IF($K21&gt;=5,"Medium","Low"))</f>
        <v/>
      </c>
      <c r="M21" s="6" t="inlineStr">
        <is>
          <t>Map View</t>
        </is>
      </c>
      <c r="N21" s="7" t="inlineStr">
        <is>
          <t>New</t>
        </is>
      </c>
      <c r="O21" s="7" t="inlineStr"/>
      <c r="P21" s="7" t="inlineStr"/>
      <c r="Q21" s="7" t="inlineStr"/>
      <c r="R21" s="7" t="inlineStr"/>
    </row>
    <row r="22">
      <c r="A22" s="3" t="inlineStr">
        <is>
          <t>Hisar</t>
        </is>
      </c>
      <c r="B22" s="3" t="inlineStr">
        <is>
          <t>CLU/HR-1279A</t>
        </is>
      </c>
      <c r="C22" s="3" t="inlineStr">
        <is>
          <t>Uhsa Rani</t>
        </is>
      </c>
      <c r="D22" s="3" t="inlineStr">
        <is>
          <t>Barwala</t>
        </is>
      </c>
      <c r="E22" s="3" t="inlineStr">
        <is>
          <t>Motel with Banquet facility</t>
        </is>
      </c>
      <c r="F22" s="3" t="inlineStr">
        <is>
          <t>Motel</t>
        </is>
      </c>
      <c r="G22" s="4" t="n">
        <v>1998.1</v>
      </c>
      <c r="H22" s="5" t="n">
        <v>0.493740826220823</v>
      </c>
      <c r="I22" s="3" t="inlineStr">
        <is>
          <t>10/03/2025</t>
        </is>
      </c>
      <c r="J22" s="3" t="inlineStr">
        <is>
          <t>2025</t>
        </is>
      </c>
      <c r="K22" s="3">
        <f>IF($F22="Hotel",5,IF($F22="Motel",4,IF($F22="Resort",4,IF($F22="Amusement",4,IF($F22="Banquet",3,2)))))+IF($H22&gt;=4,2,IF($H22&gt;=2,1,0))+IF(VALUE($J22)&gt;=2024,2,IF(VALUE($J22)&gt;=2021,1,0))</f>
        <v/>
      </c>
      <c r="L22" s="3">
        <f>IF($K22&gt;=7,"High",IF($K22&gt;=5,"Medium","Low"))</f>
        <v/>
      </c>
      <c r="M22" s="6" t="inlineStr">
        <is>
          <t>Map View</t>
        </is>
      </c>
      <c r="N22" s="7" t="inlineStr">
        <is>
          <t>New</t>
        </is>
      </c>
      <c r="O22" s="7" t="inlineStr"/>
      <c r="P22" s="7" t="inlineStr"/>
      <c r="Q22" s="7" t="inlineStr"/>
      <c r="R22" s="7" t="inlineStr"/>
    </row>
    <row r="23">
      <c r="A23" s="3" t="inlineStr">
        <is>
          <t>Hisar</t>
        </is>
      </c>
      <c r="B23" s="3" t="inlineStr">
        <is>
          <t>CLU/HR-1248A</t>
        </is>
      </c>
      <c r="C23" s="3" t="inlineStr">
        <is>
          <t>RAJPAL &amp; SURENDER SONS OF SADHU RAM</t>
        </is>
      </c>
      <c r="D23" s="3" t="inlineStr">
        <is>
          <t>Quatabpur</t>
        </is>
      </c>
      <c r="E23" s="3" t="inlineStr">
        <is>
          <t>Motel without Banquet Facility</t>
        </is>
      </c>
      <c r="F23" s="3" t="inlineStr">
        <is>
          <t>Motel</t>
        </is>
      </c>
      <c r="G23" s="4" t="n">
        <v>6520.6</v>
      </c>
      <c r="H23" s="5" t="n">
        <v>1.611273925957409</v>
      </c>
      <c r="I23" s="3" t="inlineStr">
        <is>
          <t>25/01/2024</t>
        </is>
      </c>
      <c r="J23" s="3" t="inlineStr">
        <is>
          <t>2024</t>
        </is>
      </c>
      <c r="K23" s="3">
        <f>IF($F23="Hotel",5,IF($F23="Motel",4,IF($F23="Resort",4,IF($F23="Amusement",4,IF($F23="Banquet",3,2)))))+IF($H23&gt;=4,2,IF($H23&gt;=2,1,0))+IF(VALUE($J23)&gt;=2024,2,IF(VALUE($J23)&gt;=2021,1,0))</f>
        <v/>
      </c>
      <c r="L23" s="3">
        <f>IF($K23&gt;=7,"High",IF($K23&gt;=5,"Medium","Low"))</f>
        <v/>
      </c>
      <c r="M23" s="6" t="inlineStr">
        <is>
          <t>Map View</t>
        </is>
      </c>
      <c r="N23" s="7" t="inlineStr">
        <is>
          <t>New</t>
        </is>
      </c>
      <c r="O23" s="7" t="inlineStr"/>
      <c r="P23" s="7" t="inlineStr"/>
      <c r="Q23" s="7" t="inlineStr"/>
      <c r="R23" s="7" t="inlineStr"/>
    </row>
    <row r="24">
      <c r="A24" s="3" t="inlineStr">
        <is>
          <t>Hisar</t>
        </is>
      </c>
      <c r="B24" s="3" t="inlineStr">
        <is>
          <t>CLU/HR-1260A</t>
        </is>
      </c>
      <c r="C24" s="3" t="inlineStr">
        <is>
          <t>SH SIDHARATH</t>
        </is>
      </c>
      <c r="D24" s="3" t="inlineStr">
        <is>
          <t>Narnaund</t>
        </is>
      </c>
      <c r="E24" s="3" t="inlineStr">
        <is>
          <t>Motel with Banquet facility</t>
        </is>
      </c>
      <c r="F24" s="3" t="inlineStr">
        <is>
          <t>Motel</t>
        </is>
      </c>
      <c r="G24" s="4" t="n">
        <v>5863.4</v>
      </c>
      <c r="H24" s="5" t="n">
        <v>1.448876412823769</v>
      </c>
      <c r="I24" s="3" t="inlineStr">
        <is>
          <t>26/07/2024</t>
        </is>
      </c>
      <c r="J24" s="3" t="inlineStr">
        <is>
          <t>2024</t>
        </is>
      </c>
      <c r="K24" s="3">
        <f>IF($F24="Hotel",5,IF($F24="Motel",4,IF($F24="Resort",4,IF($F24="Amusement",4,IF($F24="Banquet",3,2)))))+IF($H24&gt;=4,2,IF($H24&gt;=2,1,0))+IF(VALUE($J24)&gt;=2024,2,IF(VALUE($J24)&gt;=2021,1,0))</f>
        <v/>
      </c>
      <c r="L24" s="3">
        <f>IF($K24&gt;=7,"High",IF($K24&gt;=5,"Medium","Low"))</f>
        <v/>
      </c>
      <c r="M24" s="6" t="inlineStr">
        <is>
          <t>Map View</t>
        </is>
      </c>
      <c r="N24" s="7" t="inlineStr">
        <is>
          <t>New</t>
        </is>
      </c>
      <c r="O24" s="7" t="inlineStr"/>
      <c r="P24" s="7" t="inlineStr"/>
      <c r="Q24" s="7" t="inlineStr"/>
      <c r="R24" s="7" t="inlineStr"/>
    </row>
    <row r="25">
      <c r="A25" s="3" t="inlineStr">
        <is>
          <t>Hisar</t>
        </is>
      </c>
      <c r="B25" s="3" t="inlineStr">
        <is>
          <t>CLU/HR-1265A</t>
        </is>
      </c>
      <c r="C25" s="3" t="inlineStr">
        <is>
          <t>SUMITRA DEVI</t>
        </is>
      </c>
      <c r="D25" s="3" t="inlineStr">
        <is>
          <t>Mirka</t>
        </is>
      </c>
      <c r="E25" s="3" t="inlineStr">
        <is>
          <t>Farm house</t>
        </is>
      </c>
      <c r="F25" s="3" t="inlineStr">
        <is>
          <t>Farmhouse</t>
        </is>
      </c>
      <c r="G25" s="4" t="n">
        <v>4046.8</v>
      </c>
      <c r="H25" s="5" t="n">
        <v>0.9999851736902191</v>
      </c>
      <c r="I25" s="3" t="inlineStr">
        <is>
          <t>23/10/2024</t>
        </is>
      </c>
      <c r="J25" s="3" t="inlineStr">
        <is>
          <t>2024</t>
        </is>
      </c>
      <c r="K25" s="3">
        <f>IF($F25="Hotel",5,IF($F25="Motel",4,IF($F25="Resort",4,IF($F25="Amusement",4,IF($F25="Banquet",3,2)))))+IF($H25&gt;=4,2,IF($H25&gt;=2,1,0))+IF(VALUE($J25)&gt;=2024,2,IF(VALUE($J25)&gt;=2021,1,0))</f>
        <v/>
      </c>
      <c r="L25" s="3">
        <f>IF($K25&gt;=7,"High",IF($K25&gt;=5,"Medium","Low"))</f>
        <v/>
      </c>
      <c r="M25" s="6" t="inlineStr">
        <is>
          <t>Map View</t>
        </is>
      </c>
      <c r="N25" s="7" t="inlineStr">
        <is>
          <t>New</t>
        </is>
      </c>
      <c r="O25" s="7" t="inlineStr"/>
      <c r="P25" s="7" t="inlineStr"/>
      <c r="Q25" s="7" t="inlineStr"/>
      <c r="R25" s="7" t="inlineStr"/>
    </row>
    <row r="26">
      <c r="A26" s="3" t="inlineStr">
        <is>
          <t>Hisar</t>
        </is>
      </c>
      <c r="B26" s="3" t="inlineStr">
        <is>
          <t>CLU/HR-1258A</t>
        </is>
      </c>
      <c r="C26" s="3" t="inlineStr">
        <is>
          <t>Kuldeep</t>
        </is>
      </c>
      <c r="D26" s="3" t="inlineStr">
        <is>
          <t>Sarsod</t>
        </is>
      </c>
      <c r="E26" s="3" t="inlineStr">
        <is>
          <t>Motel with Banquet facility</t>
        </is>
      </c>
      <c r="F26" s="3" t="inlineStr">
        <is>
          <t>Motel</t>
        </is>
      </c>
      <c r="G26" s="4" t="n">
        <v>2484.1</v>
      </c>
      <c r="H26" s="5" t="n">
        <v>0.6138339354462472</v>
      </c>
      <c r="I26" s="3" t="inlineStr">
        <is>
          <t>27/02/2024</t>
        </is>
      </c>
      <c r="J26" s="3" t="inlineStr">
        <is>
          <t>2024</t>
        </is>
      </c>
      <c r="K26" s="3">
        <f>IF($F26="Hotel",5,IF($F26="Motel",4,IF($F26="Resort",4,IF($F26="Amusement",4,IF($F26="Banquet",3,2)))))+IF($H26&gt;=4,2,IF($H26&gt;=2,1,0))+IF(VALUE($J26)&gt;=2024,2,IF(VALUE($J26)&gt;=2021,1,0))</f>
        <v/>
      </c>
      <c r="L26" s="3">
        <f>IF($K26&gt;=7,"High",IF($K26&gt;=5,"Medium","Low"))</f>
        <v/>
      </c>
      <c r="M26" s="6" t="inlineStr">
        <is>
          <t>Map View</t>
        </is>
      </c>
      <c r="N26" s="7" t="inlineStr">
        <is>
          <t>New</t>
        </is>
      </c>
      <c r="O26" s="7" t="inlineStr"/>
      <c r="P26" s="7" t="inlineStr"/>
      <c r="Q26" s="7" t="inlineStr"/>
      <c r="R26" s="7" t="inlineStr"/>
    </row>
    <row r="27">
      <c r="A27" s="3" t="inlineStr">
        <is>
          <t>Hisar</t>
        </is>
      </c>
      <c r="B27" s="3" t="inlineStr">
        <is>
          <t>CLU/HR-1261A</t>
        </is>
      </c>
      <c r="C27" s="3" t="inlineStr">
        <is>
          <t>Shikshit &amp; Monika</t>
        </is>
      </c>
      <c r="D27" s="3" t="inlineStr">
        <is>
          <t>Barwala</t>
        </is>
      </c>
      <c r="E27" s="3" t="inlineStr">
        <is>
          <t>Motel with Banquet facility</t>
        </is>
      </c>
      <c r="F27" s="3" t="inlineStr">
        <is>
          <t>Motel</t>
        </is>
      </c>
      <c r="G27" s="4" t="n">
        <v>2043.2</v>
      </c>
      <c r="H27" s="5" t="n">
        <v>0.5048852690728119</v>
      </c>
      <c r="I27" s="3" t="inlineStr">
        <is>
          <t>09/08/2024</t>
        </is>
      </c>
      <c r="J27" s="3" t="inlineStr">
        <is>
          <t>2024</t>
        </is>
      </c>
      <c r="K27" s="3">
        <f>IF($F27="Hotel",5,IF($F27="Motel",4,IF($F27="Resort",4,IF($F27="Amusement",4,IF($F27="Banquet",3,2)))))+IF($H27&gt;=4,2,IF($H27&gt;=2,1,0))+IF(VALUE($J27)&gt;=2024,2,IF(VALUE($J27)&gt;=2021,1,0))</f>
        <v/>
      </c>
      <c r="L27" s="3">
        <f>IF($K27&gt;=7,"High",IF($K27&gt;=5,"Medium","Low"))</f>
        <v/>
      </c>
      <c r="M27" s="6" t="inlineStr">
        <is>
          <t>Map View</t>
        </is>
      </c>
      <c r="N27" s="7" t="inlineStr">
        <is>
          <t>New</t>
        </is>
      </c>
      <c r="O27" s="7" t="inlineStr"/>
      <c r="P27" s="7" t="inlineStr"/>
      <c r="Q27" s="7" t="inlineStr"/>
      <c r="R27" s="7" t="inlineStr"/>
    </row>
    <row r="28">
      <c r="A28" s="3" t="inlineStr">
        <is>
          <t>Hisar</t>
        </is>
      </c>
      <c r="B28" s="3" t="inlineStr">
        <is>
          <t>CLU/HR-1231A</t>
        </is>
      </c>
      <c r="C28" s="3" t="inlineStr">
        <is>
          <t>Roopchand Farms</t>
        </is>
      </c>
      <c r="D28" s="3" t="inlineStr">
        <is>
          <t>Hansi</t>
        </is>
      </c>
      <c r="E28" s="3" t="inlineStr">
        <is>
          <t>Farm house</t>
        </is>
      </c>
      <c r="F28" s="3" t="inlineStr">
        <is>
          <t>Farmhouse</t>
        </is>
      </c>
      <c r="G28" s="4" t="n">
        <v>9408.799999999999</v>
      </c>
      <c r="H28" s="5" t="n">
        <v>2.324963057778129</v>
      </c>
      <c r="I28" s="3" t="inlineStr">
        <is>
          <t>06/09/2023</t>
        </is>
      </c>
      <c r="J28" s="3" t="inlineStr">
        <is>
          <t>2023</t>
        </is>
      </c>
      <c r="K28" s="3">
        <f>IF($F28="Hotel",5,IF($F28="Motel",4,IF($F28="Resort",4,IF($F28="Amusement",4,IF($F28="Banquet",3,2)))))+IF($H28&gt;=4,2,IF($H28&gt;=2,1,0))+IF(VALUE($J28)&gt;=2024,2,IF(VALUE($J28)&gt;=2021,1,0))</f>
        <v/>
      </c>
      <c r="L28" s="3">
        <f>IF($K28&gt;=7,"High",IF($K28&gt;=5,"Medium","Low"))</f>
        <v/>
      </c>
      <c r="M28" s="6" t="inlineStr">
        <is>
          <t>Map View</t>
        </is>
      </c>
      <c r="N28" s="7" t="inlineStr">
        <is>
          <t>New</t>
        </is>
      </c>
      <c r="O28" s="7" t="inlineStr"/>
      <c r="P28" s="7" t="inlineStr"/>
      <c r="Q28" s="7" t="inlineStr"/>
      <c r="R28" s="7" t="inlineStr"/>
    </row>
    <row r="29">
      <c r="A29" s="3" t="inlineStr">
        <is>
          <t>Hisar</t>
        </is>
      </c>
      <c r="B29" s="3" t="inlineStr">
        <is>
          <t>CLU/HR-1219A</t>
        </is>
      </c>
      <c r="C29" s="3" t="inlineStr">
        <is>
          <t>GREEN HAVELI</t>
        </is>
      </c>
      <c r="D29" s="3" t="inlineStr">
        <is>
          <t>Quatabpur</t>
        </is>
      </c>
      <c r="E29" s="3" t="inlineStr">
        <is>
          <t>Motel with Banquet facility</t>
        </is>
      </c>
      <c r="F29" s="3" t="inlineStr">
        <is>
          <t>Motel</t>
        </is>
      </c>
      <c r="G29" s="4" t="n">
        <v>7745.6</v>
      </c>
      <c r="H29" s="5" t="n">
        <v>1.913977750651122</v>
      </c>
      <c r="I29" s="3" t="inlineStr">
        <is>
          <t>21/08/2023</t>
        </is>
      </c>
      <c r="J29" s="3" t="inlineStr">
        <is>
          <t>2023</t>
        </is>
      </c>
      <c r="K29" s="3">
        <f>IF($F29="Hotel",5,IF($F29="Motel",4,IF($F29="Resort",4,IF($F29="Amusement",4,IF($F29="Banquet",3,2)))))+IF($H29&gt;=4,2,IF($H29&gt;=2,1,0))+IF(VALUE($J29)&gt;=2024,2,IF(VALUE($J29)&gt;=2021,1,0))</f>
        <v/>
      </c>
      <c r="L29" s="3">
        <f>IF($K29&gt;=7,"High",IF($K29&gt;=5,"Medium","Low"))</f>
        <v/>
      </c>
      <c r="M29" s="6" t="inlineStr">
        <is>
          <t>Map View</t>
        </is>
      </c>
      <c r="N29" s="7" t="inlineStr">
        <is>
          <t>New</t>
        </is>
      </c>
      <c r="O29" s="7" t="inlineStr"/>
      <c r="P29" s="7" t="inlineStr"/>
      <c r="Q29" s="7" t="inlineStr"/>
      <c r="R29" s="7" t="inlineStr"/>
    </row>
    <row r="30">
      <c r="A30" s="3" t="inlineStr">
        <is>
          <t>Hisar</t>
        </is>
      </c>
      <c r="B30" s="3" t="inlineStr">
        <is>
          <t>CLU/HR-1217A</t>
        </is>
      </c>
      <c r="C30" s="3" t="inlineStr">
        <is>
          <t>Raj Kumar</t>
        </is>
      </c>
      <c r="D30" s="3" t="inlineStr">
        <is>
          <t>Satrod khas</t>
        </is>
      </c>
      <c r="E30" s="3" t="inlineStr">
        <is>
          <t>Motel with Banquet facility</t>
        </is>
      </c>
      <c r="F30" s="3" t="inlineStr">
        <is>
          <t>Motel</t>
        </is>
      </c>
      <c r="G30" s="4" t="n">
        <v>4107.11</v>
      </c>
      <c r="H30" s="5" t="n">
        <v>1.01488808607167</v>
      </c>
      <c r="I30" s="3" t="inlineStr">
        <is>
          <t>06/07/2023</t>
        </is>
      </c>
      <c r="J30" s="3" t="inlineStr">
        <is>
          <t>2023</t>
        </is>
      </c>
      <c r="K30" s="3">
        <f>IF($F30="Hotel",5,IF($F30="Motel",4,IF($F30="Resort",4,IF($F30="Amusement",4,IF($F30="Banquet",3,2)))))+IF($H30&gt;=4,2,IF($H30&gt;=2,1,0))+IF(VALUE($J30)&gt;=2024,2,IF(VALUE($J30)&gt;=2021,1,0))</f>
        <v/>
      </c>
      <c r="L30" s="3">
        <f>IF($K30&gt;=7,"High",IF($K30&gt;=5,"Medium","Low"))</f>
        <v/>
      </c>
      <c r="M30" s="6" t="inlineStr">
        <is>
          <t>Map View</t>
        </is>
      </c>
      <c r="N30" s="7" t="inlineStr">
        <is>
          <t>New</t>
        </is>
      </c>
      <c r="O30" s="7" t="inlineStr"/>
      <c r="P30" s="7" t="inlineStr"/>
      <c r="Q30" s="7" t="inlineStr"/>
      <c r="R30" s="7" t="inlineStr"/>
    </row>
    <row r="31">
      <c r="A31" s="3" t="inlineStr">
        <is>
          <t>Hisar</t>
        </is>
      </c>
      <c r="B31" s="3" t="inlineStr">
        <is>
          <t>CLU/HR-1195A</t>
        </is>
      </c>
      <c r="C31" s="3" t="inlineStr">
        <is>
          <t>Krishan Kumar and Promila Allawadhi</t>
        </is>
      </c>
      <c r="D31" s="3" t="inlineStr">
        <is>
          <t>Dabra</t>
        </is>
      </c>
      <c r="E31" s="3" t="inlineStr">
        <is>
          <t>Farm house</t>
        </is>
      </c>
      <c r="F31" s="3" t="inlineStr">
        <is>
          <t>Farmhouse</t>
        </is>
      </c>
      <c r="G31" s="4" t="n">
        <v>4066.2</v>
      </c>
      <c r="H31" s="5" t="n">
        <v>1.004779013852715</v>
      </c>
      <c r="I31" s="3" t="inlineStr">
        <is>
          <t>07/02/2023</t>
        </is>
      </c>
      <c r="J31" s="3" t="inlineStr">
        <is>
          <t>2023</t>
        </is>
      </c>
      <c r="K31" s="3">
        <f>IF($F31="Hotel",5,IF($F31="Motel",4,IF($F31="Resort",4,IF($F31="Amusement",4,IF($F31="Banquet",3,2)))))+IF($H31&gt;=4,2,IF($H31&gt;=2,1,0))+IF(VALUE($J31)&gt;=2024,2,IF(VALUE($J31)&gt;=2021,1,0))</f>
        <v/>
      </c>
      <c r="L31" s="3">
        <f>IF($K31&gt;=7,"High",IF($K31&gt;=5,"Medium","Low"))</f>
        <v/>
      </c>
      <c r="M31" s="6" t="inlineStr">
        <is>
          <t>Map View</t>
        </is>
      </c>
      <c r="N31" s="7" t="inlineStr">
        <is>
          <t>New</t>
        </is>
      </c>
      <c r="O31" s="7" t="inlineStr"/>
      <c r="P31" s="7" t="inlineStr"/>
      <c r="Q31" s="7" t="inlineStr"/>
      <c r="R31" s="7" t="inlineStr"/>
    </row>
    <row r="32">
      <c r="A32" s="3" t="inlineStr">
        <is>
          <t>Hisar</t>
        </is>
      </c>
      <c r="B32" s="3" t="inlineStr">
        <is>
          <t>CLU/HR-1205A</t>
        </is>
      </c>
      <c r="C32" s="3" t="inlineStr">
        <is>
          <t>Prem Singh &amp; Nirmala Devi</t>
        </is>
      </c>
      <c r="D32" s="3" t="inlineStr">
        <is>
          <t>Hansi</t>
        </is>
      </c>
      <c r="E32" s="3" t="inlineStr">
        <is>
          <t>Motel cum Restaurant</t>
        </is>
      </c>
      <c r="F32" s="3" t="inlineStr">
        <is>
          <t>Motel</t>
        </is>
      </c>
      <c r="G32" s="4" t="n">
        <v>3709</v>
      </c>
      <c r="H32" s="5" t="n">
        <v>0.9165130496236588</v>
      </c>
      <c r="I32" s="3" t="inlineStr">
        <is>
          <t>07/06/2023</t>
        </is>
      </c>
      <c r="J32" s="3" t="inlineStr">
        <is>
          <t>2023</t>
        </is>
      </c>
      <c r="K32" s="3">
        <f>IF($F32="Hotel",5,IF($F32="Motel",4,IF($F32="Resort",4,IF($F32="Amusement",4,IF($F32="Banquet",3,2)))))+IF($H32&gt;=4,2,IF($H32&gt;=2,1,0))+IF(VALUE($J32)&gt;=2024,2,IF(VALUE($J32)&gt;=2021,1,0))</f>
        <v/>
      </c>
      <c r="L32" s="3">
        <f>IF($K32&gt;=7,"High",IF($K32&gt;=5,"Medium","Low"))</f>
        <v/>
      </c>
      <c r="M32" s="6" t="inlineStr">
        <is>
          <t>Map View</t>
        </is>
      </c>
      <c r="N32" s="7" t="inlineStr">
        <is>
          <t>New</t>
        </is>
      </c>
      <c r="O32" s="7" t="inlineStr"/>
      <c r="P32" s="7" t="inlineStr"/>
      <c r="Q32" s="7" t="inlineStr"/>
      <c r="R32" s="7" t="inlineStr"/>
    </row>
    <row r="33">
      <c r="A33" s="3" t="inlineStr">
        <is>
          <t>Hisar</t>
        </is>
      </c>
      <c r="B33" s="3" t="inlineStr">
        <is>
          <t>CLU/HR-1183A</t>
        </is>
      </c>
      <c r="C33" s="3" t="inlineStr">
        <is>
          <t>Sh.Gianiram, Sh. suraj, Sh. Satish Kumar</t>
        </is>
      </c>
      <c r="D33" s="3" t="inlineStr">
        <is>
          <t>Devan</t>
        </is>
      </c>
      <c r="E33" s="3" t="inlineStr">
        <is>
          <t>Farm house</t>
        </is>
      </c>
      <c r="F33" s="3" t="inlineStr">
        <is>
          <t>Farmhouse</t>
        </is>
      </c>
      <c r="G33" s="4" t="n">
        <v>11381.6</v>
      </c>
      <c r="H33" s="5" t="n">
        <v>2.812452123374666</v>
      </c>
      <c r="I33" s="3" t="inlineStr">
        <is>
          <t>12/07/2022</t>
        </is>
      </c>
      <c r="J33" s="3" t="inlineStr">
        <is>
          <t>2022</t>
        </is>
      </c>
      <c r="K33" s="3">
        <f>IF($F33="Hotel",5,IF($F33="Motel",4,IF($F33="Resort",4,IF($F33="Amusement",4,IF($F33="Banquet",3,2)))))+IF($H33&gt;=4,2,IF($H33&gt;=2,1,0))+IF(VALUE($J33)&gt;=2024,2,IF(VALUE($J33)&gt;=2021,1,0))</f>
        <v/>
      </c>
      <c r="L33" s="3">
        <f>IF($K33&gt;=7,"High",IF($K33&gt;=5,"Medium","Low"))</f>
        <v/>
      </c>
      <c r="M33" s="6" t="inlineStr">
        <is>
          <t>Map View</t>
        </is>
      </c>
      <c r="N33" s="7" t="inlineStr">
        <is>
          <t>New</t>
        </is>
      </c>
      <c r="O33" s="7" t="inlineStr"/>
      <c r="P33" s="7" t="inlineStr"/>
      <c r="Q33" s="7" t="inlineStr"/>
      <c r="R33" s="7" t="inlineStr"/>
    </row>
    <row r="34">
      <c r="A34" s="3" t="inlineStr">
        <is>
          <t>Hisar</t>
        </is>
      </c>
      <c r="B34" s="3" t="inlineStr">
        <is>
          <t>CLU/HR-1166A</t>
        </is>
      </c>
      <c r="C34" s="3" t="inlineStr">
        <is>
          <t>VEENA MITTAL</t>
        </is>
      </c>
      <c r="D34" s="3" t="inlineStr">
        <is>
          <t>Quatabpur</t>
        </is>
      </c>
      <c r="E34" s="3" t="inlineStr">
        <is>
          <t>Banquet Hall</t>
        </is>
      </c>
      <c r="F34" s="3" t="inlineStr">
        <is>
          <t>Banquet</t>
        </is>
      </c>
      <c r="G34" s="4" t="n">
        <v>8305.6</v>
      </c>
      <c r="H34" s="5" t="n">
        <v>2.052356641939677</v>
      </c>
      <c r="I34" s="3" t="inlineStr">
        <is>
          <t>30/05/2022</t>
        </is>
      </c>
      <c r="J34" s="3" t="inlineStr">
        <is>
          <t>2022</t>
        </is>
      </c>
      <c r="K34" s="3">
        <f>IF($F34="Hotel",5,IF($F34="Motel",4,IF($F34="Resort",4,IF($F34="Amusement",4,IF($F34="Banquet",3,2)))))+IF($H34&gt;=4,2,IF($H34&gt;=2,1,0))+IF(VALUE($J34)&gt;=2024,2,IF(VALUE($J34)&gt;=2021,1,0))</f>
        <v/>
      </c>
      <c r="L34" s="3">
        <f>IF($K34&gt;=7,"High",IF($K34&gt;=5,"Medium","Low"))</f>
        <v/>
      </c>
      <c r="M34" s="6" t="inlineStr">
        <is>
          <t>Map View</t>
        </is>
      </c>
      <c r="N34" s="7" t="inlineStr">
        <is>
          <t>New</t>
        </is>
      </c>
      <c r="O34" s="7" t="inlineStr"/>
      <c r="P34" s="7" t="inlineStr"/>
      <c r="Q34" s="7" t="inlineStr"/>
      <c r="R34" s="7" t="inlineStr"/>
    </row>
    <row r="35">
      <c r="A35" s="3" t="inlineStr">
        <is>
          <t>Hisar</t>
        </is>
      </c>
      <c r="B35" s="3" t="inlineStr">
        <is>
          <t>CLU/HR-1194A</t>
        </is>
      </c>
      <c r="C35" s="3" t="inlineStr">
        <is>
          <t>Zelio Auto Private Limited Through Sh. Niraj Arya</t>
        </is>
      </c>
      <c r="D35" s="3" t="inlineStr">
        <is>
          <t>Ladwa</t>
        </is>
      </c>
      <c r="E35" s="3" t="inlineStr">
        <is>
          <t>Farm house</t>
        </is>
      </c>
      <c r="F35" s="3" t="inlineStr">
        <is>
          <t>Farmhouse</t>
        </is>
      </c>
      <c r="G35" s="4" t="n">
        <v>8090.8</v>
      </c>
      <c r="H35" s="5" t="n">
        <v>1.999278452923995</v>
      </c>
      <c r="I35" s="3" t="inlineStr">
        <is>
          <t>16/09/2022</t>
        </is>
      </c>
      <c r="J35" s="3" t="inlineStr">
        <is>
          <t>2022</t>
        </is>
      </c>
      <c r="K35" s="3">
        <f>IF($F35="Hotel",5,IF($F35="Motel",4,IF($F35="Resort",4,IF($F35="Amusement",4,IF($F35="Banquet",3,2)))))+IF($H35&gt;=4,2,IF($H35&gt;=2,1,0))+IF(VALUE($J35)&gt;=2024,2,IF(VALUE($J35)&gt;=2021,1,0))</f>
        <v/>
      </c>
      <c r="L35" s="3">
        <f>IF($K35&gt;=7,"High",IF($K35&gt;=5,"Medium","Low"))</f>
        <v/>
      </c>
      <c r="M35" s="6" t="inlineStr">
        <is>
          <t>Map View</t>
        </is>
      </c>
      <c r="N35" s="7" t="inlineStr">
        <is>
          <t>New</t>
        </is>
      </c>
      <c r="O35" s="7" t="inlineStr"/>
      <c r="P35" s="7" t="inlineStr"/>
      <c r="Q35" s="7" t="inlineStr"/>
      <c r="R35" s="7" t="inlineStr"/>
    </row>
    <row r="36">
      <c r="A36" s="3" t="inlineStr">
        <is>
          <t>Hisar</t>
        </is>
      </c>
      <c r="B36" s="3" t="inlineStr">
        <is>
          <t>CLU/HR-1181A</t>
        </is>
      </c>
      <c r="C36" s="3" t="inlineStr">
        <is>
          <t>Sarvjeet and Parshant Rapeswal</t>
        </is>
      </c>
      <c r="D36" s="3" t="inlineStr">
        <is>
          <t>Dabra</t>
        </is>
      </c>
      <c r="E36" s="3" t="inlineStr">
        <is>
          <t>Motel with Banquet facility</t>
        </is>
      </c>
      <c r="F36" s="3" t="inlineStr">
        <is>
          <t>Motel</t>
        </is>
      </c>
      <c r="G36" s="4" t="n">
        <v>8055.9</v>
      </c>
      <c r="H36" s="5" t="n">
        <v>1.990654482734762</v>
      </c>
      <c r="I36" s="3" t="inlineStr">
        <is>
          <t>07/12/2022</t>
        </is>
      </c>
      <c r="J36" s="3" t="inlineStr">
        <is>
          <t>2022</t>
        </is>
      </c>
      <c r="K36" s="3">
        <f>IF($F36="Hotel",5,IF($F36="Motel",4,IF($F36="Resort",4,IF($F36="Amusement",4,IF($F36="Banquet",3,2)))))+IF($H36&gt;=4,2,IF($H36&gt;=2,1,0))+IF(VALUE($J36)&gt;=2024,2,IF(VALUE($J36)&gt;=2021,1,0))</f>
        <v/>
      </c>
      <c r="L36" s="3">
        <f>IF($K36&gt;=7,"High",IF($K36&gt;=5,"Medium","Low"))</f>
        <v/>
      </c>
      <c r="M36" s="6" t="inlineStr">
        <is>
          <t>Map View</t>
        </is>
      </c>
      <c r="N36" s="7" t="inlineStr">
        <is>
          <t>New</t>
        </is>
      </c>
      <c r="O36" s="7" t="inlineStr"/>
      <c r="P36" s="7" t="inlineStr"/>
      <c r="Q36" s="7" t="inlineStr"/>
      <c r="R36" s="7" t="inlineStr"/>
    </row>
    <row r="37">
      <c r="A37" s="3" t="inlineStr">
        <is>
          <t>Hisar</t>
        </is>
      </c>
      <c r="B37" s="3" t="inlineStr">
        <is>
          <t>CLU/HR-1171A</t>
        </is>
      </c>
      <c r="C37" s="3" t="inlineStr">
        <is>
          <t>Smt. Mamta Garg and Smt. Shanti Devi</t>
        </is>
      </c>
      <c r="D37" s="3" t="inlineStr">
        <is>
          <t>Mirka</t>
        </is>
      </c>
      <c r="E37" s="3" t="inlineStr">
        <is>
          <t>Farm house</t>
        </is>
      </c>
      <c r="F37" s="3" t="inlineStr">
        <is>
          <t>Farmhouse</t>
        </is>
      </c>
      <c r="G37" s="4" t="n">
        <v>4476.79</v>
      </c>
      <c r="H37" s="5" t="n">
        <v>1.106237922735158</v>
      </c>
      <c r="I37" s="3" t="inlineStr">
        <is>
          <t>31/07/2022</t>
        </is>
      </c>
      <c r="J37" s="3" t="inlineStr">
        <is>
          <t>2022</t>
        </is>
      </c>
      <c r="K37" s="3">
        <f>IF($F37="Hotel",5,IF($F37="Motel",4,IF($F37="Resort",4,IF($F37="Amusement",4,IF($F37="Banquet",3,2)))))+IF($H37&gt;=4,2,IF($H37&gt;=2,1,0))+IF(VALUE($J37)&gt;=2024,2,IF(VALUE($J37)&gt;=2021,1,0))</f>
        <v/>
      </c>
      <c r="L37" s="3">
        <f>IF($K37&gt;=7,"High",IF($K37&gt;=5,"Medium","Low"))</f>
        <v/>
      </c>
      <c r="M37" s="6" t="inlineStr">
        <is>
          <t>Map View</t>
        </is>
      </c>
      <c r="N37" s="7" t="inlineStr">
        <is>
          <t>New</t>
        </is>
      </c>
      <c r="O37" s="7" t="inlineStr"/>
      <c r="P37" s="7" t="inlineStr"/>
      <c r="Q37" s="7" t="inlineStr"/>
      <c r="R37" s="7" t="inlineStr"/>
    </row>
    <row r="38">
      <c r="A38" s="3" t="inlineStr">
        <is>
          <t>Hisar</t>
        </is>
      </c>
      <c r="B38" s="3" t="inlineStr">
        <is>
          <t>CLU/HR-954A</t>
        </is>
      </c>
      <c r="C38" s="3" t="inlineStr">
        <is>
          <t>Ramandeep Kaur</t>
        </is>
      </c>
      <c r="D38" s="3" t="inlineStr">
        <is>
          <t>Chickenwas</t>
        </is>
      </c>
      <c r="E38" s="3" t="inlineStr">
        <is>
          <t>Motel with Banquet facility</t>
        </is>
      </c>
      <c r="F38" s="3" t="inlineStr">
        <is>
          <t>Motel</t>
        </is>
      </c>
      <c r="G38" s="4" t="n">
        <v>2355.2</v>
      </c>
      <c r="H38" s="5" t="n">
        <v>0.5819820799335781</v>
      </c>
      <c r="I38" s="3" t="inlineStr">
        <is>
          <t>17/03/2022</t>
        </is>
      </c>
      <c r="J38" s="3" t="inlineStr">
        <is>
          <t>2022</t>
        </is>
      </c>
      <c r="K38" s="3">
        <f>IF($F38="Hotel",5,IF($F38="Motel",4,IF($F38="Resort",4,IF($F38="Amusement",4,IF($F38="Banquet",3,2)))))+IF($H38&gt;=4,2,IF($H38&gt;=2,1,0))+IF(VALUE($J38)&gt;=2024,2,IF(VALUE($J38)&gt;=2021,1,0))</f>
        <v/>
      </c>
      <c r="L38" s="3">
        <f>IF($K38&gt;=7,"High",IF($K38&gt;=5,"Medium","Low"))</f>
        <v/>
      </c>
      <c r="M38" s="6" t="inlineStr">
        <is>
          <t>Map View</t>
        </is>
      </c>
      <c r="N38" s="7" t="inlineStr">
        <is>
          <t>New</t>
        </is>
      </c>
      <c r="O38" s="7" t="inlineStr"/>
      <c r="P38" s="7" t="inlineStr"/>
      <c r="Q38" s="7" t="inlineStr"/>
      <c r="R38" s="7" t="inlineStr"/>
    </row>
    <row r="39">
      <c r="A39" s="3" t="inlineStr">
        <is>
          <t>Hisar</t>
        </is>
      </c>
      <c r="B39" s="3" t="inlineStr">
        <is>
          <t>CLU/HR-1155A</t>
        </is>
      </c>
      <c r="C39" s="3" t="inlineStr">
        <is>
          <t>GREEN VALLEY</t>
        </is>
      </c>
      <c r="D39" s="3" t="inlineStr">
        <is>
          <t>Quatabpur</t>
        </is>
      </c>
      <c r="E39" s="3" t="inlineStr">
        <is>
          <t>Motel with Banquet facility</t>
        </is>
      </c>
      <c r="F39" s="3" t="inlineStr">
        <is>
          <t>Motel</t>
        </is>
      </c>
      <c r="G39" s="4" t="n">
        <v>20198.3</v>
      </c>
      <c r="H39" s="5" t="n">
        <v>4.991104214131449</v>
      </c>
      <c r="I39" s="3" t="inlineStr">
        <is>
          <t>06/12/2021</t>
        </is>
      </c>
      <c r="J39" s="3" t="inlineStr">
        <is>
          <t>2021</t>
        </is>
      </c>
      <c r="K39" s="3">
        <f>IF($F39="Hotel",5,IF($F39="Motel",4,IF($F39="Resort",4,IF($F39="Amusement",4,IF($F39="Banquet",3,2)))))+IF($H39&gt;=4,2,IF($H39&gt;=2,1,0))+IF(VALUE($J39)&gt;=2024,2,IF(VALUE($J39)&gt;=2021,1,0))</f>
        <v/>
      </c>
      <c r="L39" s="3">
        <f>IF($K39&gt;=7,"High",IF($K39&gt;=5,"Medium","Low"))</f>
        <v/>
      </c>
      <c r="M39" s="6" t="inlineStr">
        <is>
          <t>Map View</t>
        </is>
      </c>
      <c r="N39" s="7" t="inlineStr">
        <is>
          <t>Contact found</t>
        </is>
      </c>
      <c r="O39" s="7" t="inlineStr">
        <is>
          <t>Green Valley (regd. partnership, GSTIN 06AAWFG6114H1Z7), GT Rd Kutabpur, Hansi — operating leisure complex</t>
        </is>
      </c>
      <c r="P39" s="7" t="inlineStr">
        <is>
          <t>greenvalliewaterpark@gmail.com; +91 98121 57357; +91 77000 12262</t>
        </is>
      </c>
      <c r="Q39" s="7" t="inlineStr"/>
      <c r="R39" s="7" t="inlineStr">
        <is>
          <t>Operating: Green Vallie Water Park (2025), Haldiram's, Levi's store, banquets on NH-9. Src: greenvalliewaterpark.com + LEI/GST</t>
        </is>
      </c>
    </row>
    <row r="40">
      <c r="A40" s="3" t="inlineStr">
        <is>
          <t>Hisar</t>
        </is>
      </c>
      <c r="B40" s="3" t="inlineStr">
        <is>
          <t>CLU/HR-1134A</t>
        </is>
      </c>
      <c r="C40" s="3" t="inlineStr">
        <is>
          <t>Sh.Sajjan Gupta   Sh.Sahil Goyal Etc.</t>
        </is>
      </c>
      <c r="D40" s="3" t="inlineStr">
        <is>
          <t>Quatabpur</t>
        </is>
      </c>
      <c r="E40" s="3" t="inlineStr">
        <is>
          <t>Motel with Banquet facility</t>
        </is>
      </c>
      <c r="F40" s="3" t="inlineStr">
        <is>
          <t>Motel</t>
        </is>
      </c>
      <c r="G40" s="4" t="n">
        <v>16843.7</v>
      </c>
      <c r="H40" s="5" t="n">
        <v>4.162165234280405</v>
      </c>
      <c r="I40" s="3" t="inlineStr">
        <is>
          <t>25/06/2021</t>
        </is>
      </c>
      <c r="J40" s="3" t="inlineStr">
        <is>
          <t>2021</t>
        </is>
      </c>
      <c r="K40" s="3">
        <f>IF($F40="Hotel",5,IF($F40="Motel",4,IF($F40="Resort",4,IF($F40="Amusement",4,IF($F40="Banquet",3,2)))))+IF($H40&gt;=4,2,IF($H40&gt;=2,1,0))+IF(VALUE($J40)&gt;=2024,2,IF(VALUE($J40)&gt;=2021,1,0))</f>
        <v/>
      </c>
      <c r="L40" s="3">
        <f>IF($K40&gt;=7,"High",IF($K40&gt;=5,"Medium","Low"))</f>
        <v/>
      </c>
      <c r="M40" s="6" t="inlineStr">
        <is>
          <t>Map View</t>
        </is>
      </c>
      <c r="N40" s="7" t="inlineStr">
        <is>
          <t>New</t>
        </is>
      </c>
      <c r="O40" s="7" t="inlineStr"/>
      <c r="P40" s="7" t="inlineStr"/>
      <c r="Q40" s="7" t="inlineStr"/>
      <c r="R40" s="7" t="inlineStr"/>
    </row>
    <row r="41">
      <c r="A41" s="3" t="inlineStr">
        <is>
          <t>Hisar</t>
        </is>
      </c>
      <c r="B41" s="3" t="inlineStr">
        <is>
          <t>CLU/HR-831</t>
        </is>
      </c>
      <c r="C41" s="3" t="inlineStr">
        <is>
          <t>Smt. Usha Kataria W/o Sh. Kewal Kumar Kataria</t>
        </is>
      </c>
      <c r="D41" s="3" t="inlineStr">
        <is>
          <t>Village Khedar</t>
        </is>
      </c>
      <c r="E41" s="3" t="inlineStr">
        <is>
          <t>Motel without Banquet Hall</t>
        </is>
      </c>
      <c r="F41" s="3" t="inlineStr">
        <is>
          <t>Motel</t>
        </is>
      </c>
      <c r="G41" s="4" t="n"/>
      <c r="H41" s="5" t="n"/>
      <c r="I41" s="3" t="inlineStr">
        <is>
          <t>11/06/2019</t>
        </is>
      </c>
      <c r="J41" s="3" t="inlineStr">
        <is>
          <t>2019</t>
        </is>
      </c>
      <c r="K41" s="3">
        <f>IF($F41="Hotel",5,IF($F41="Motel",4,IF($F41="Resort",4,IF($F41="Amusement",4,IF($F41="Banquet",3,2)))))+IF($H41&gt;=4,2,IF($H41&gt;=2,1,0))+IF(VALUE($J41)&gt;=2024,2,IF(VALUE($J41)&gt;=2021,1,0))</f>
        <v/>
      </c>
      <c r="L41" s="3">
        <f>IF($K41&gt;=7,"High",IF($K41&gt;=5,"Medium","Low"))</f>
        <v/>
      </c>
      <c r="M41" s="6" t="inlineStr">
        <is>
          <t>Map View</t>
        </is>
      </c>
      <c r="N41" s="7" t="inlineStr">
        <is>
          <t>New</t>
        </is>
      </c>
      <c r="O41" s="7" t="inlineStr"/>
      <c r="P41" s="7" t="inlineStr"/>
      <c r="Q41" s="7" t="inlineStr"/>
      <c r="R41" s="7" t="inlineStr"/>
    </row>
    <row r="42">
      <c r="A42" s="3" t="inlineStr">
        <is>
          <t>Hisar</t>
        </is>
      </c>
      <c r="B42" s="3" t="inlineStr">
        <is>
          <t>CLU/HR-902</t>
        </is>
      </c>
      <c r="C42" s="3" t="inlineStr">
        <is>
          <t>Smt. Hem Lata W/o Sh. Sunil</t>
        </is>
      </c>
      <c r="D42" s="3" t="inlineStr">
        <is>
          <t>Village Hansi</t>
        </is>
      </c>
      <c r="E42" s="3" t="inlineStr">
        <is>
          <t>Motel without Banquet Hall</t>
        </is>
      </c>
      <c r="F42" s="3" t="inlineStr">
        <is>
          <t>Motel</t>
        </is>
      </c>
      <c r="G42" s="4" t="n"/>
      <c r="H42" s="5" t="n"/>
      <c r="I42" s="3" t="inlineStr">
        <is>
          <t>06/08/2019</t>
        </is>
      </c>
      <c r="J42" s="3" t="inlineStr">
        <is>
          <t>2019</t>
        </is>
      </c>
      <c r="K42" s="3">
        <f>IF($F42="Hotel",5,IF($F42="Motel",4,IF($F42="Resort",4,IF($F42="Amusement",4,IF($F42="Banquet",3,2)))))+IF($H42&gt;=4,2,IF($H42&gt;=2,1,0))+IF(VALUE($J42)&gt;=2024,2,IF(VALUE($J42)&gt;=2021,1,0))</f>
        <v/>
      </c>
      <c r="L42" s="3">
        <f>IF($K42&gt;=7,"High",IF($K42&gt;=5,"Medium","Low"))</f>
        <v/>
      </c>
      <c r="M42" s="6" t="inlineStr">
        <is>
          <t>Map View</t>
        </is>
      </c>
      <c r="N42" s="7" t="inlineStr">
        <is>
          <t>New</t>
        </is>
      </c>
      <c r="O42" s="7" t="inlineStr"/>
      <c r="P42" s="7" t="inlineStr"/>
      <c r="Q42" s="7" t="inlineStr"/>
      <c r="R42" s="7" t="inlineStr"/>
    </row>
    <row r="43">
      <c r="A43" s="3" t="inlineStr">
        <is>
          <t>Hisar</t>
        </is>
      </c>
      <c r="B43" s="3" t="inlineStr">
        <is>
          <t>CLU/HR-842</t>
        </is>
      </c>
      <c r="C43" s="3" t="inlineStr">
        <is>
          <t>Smt. Sheela Devi W/o Sh. Rammehar</t>
        </is>
      </c>
      <c r="D43" s="3" t="inlineStr">
        <is>
          <t>Hansi</t>
        </is>
      </c>
      <c r="E43" s="3" t="inlineStr">
        <is>
          <t>Motel without Banquet Facility</t>
        </is>
      </c>
      <c r="F43" s="3" t="inlineStr">
        <is>
          <t>Motel</t>
        </is>
      </c>
      <c r="G43" s="4" t="n"/>
      <c r="H43" s="5" t="n"/>
      <c r="I43" s="3" t="inlineStr">
        <is>
          <t>27/04/2018</t>
        </is>
      </c>
      <c r="J43" s="3" t="inlineStr">
        <is>
          <t>2018</t>
        </is>
      </c>
      <c r="K43" s="3">
        <f>IF($F43="Hotel",5,IF($F43="Motel",4,IF($F43="Resort",4,IF($F43="Amusement",4,IF($F43="Banquet",3,2)))))+IF($H43&gt;=4,2,IF($H43&gt;=2,1,0))+IF(VALUE($J43)&gt;=2024,2,IF(VALUE($J43)&gt;=2021,1,0))</f>
        <v/>
      </c>
      <c r="L43" s="3">
        <f>IF($K43&gt;=7,"High",IF($K43&gt;=5,"Medium","Low"))</f>
        <v/>
      </c>
      <c r="M43" s="6" t="inlineStr">
        <is>
          <t>Map View</t>
        </is>
      </c>
      <c r="N43" s="7" t="inlineStr">
        <is>
          <t>New</t>
        </is>
      </c>
      <c r="O43" s="7" t="inlineStr"/>
      <c r="P43" s="7" t="inlineStr"/>
      <c r="Q43" s="7" t="inlineStr"/>
      <c r="R43" s="7" t="inlineStr"/>
    </row>
    <row r="44">
      <c r="A44" s="3" t="inlineStr">
        <is>
          <t>Hisar</t>
        </is>
      </c>
      <c r="B44" s="3" t="inlineStr">
        <is>
          <t>CLU/HR-851</t>
        </is>
      </c>
      <c r="C44" s="3" t="inlineStr">
        <is>
          <t>Ms. Bimla Devi D/o Sh. Surjan Dass</t>
        </is>
      </c>
      <c r="D44" s="3" t="inlineStr">
        <is>
          <t>Barwala</t>
        </is>
      </c>
      <c r="E44" s="3" t="inlineStr">
        <is>
          <t>Motel without Banquet Facility</t>
        </is>
      </c>
      <c r="F44" s="3" t="inlineStr">
        <is>
          <t>Motel</t>
        </is>
      </c>
      <c r="G44" s="4" t="n"/>
      <c r="H44" s="5" t="n"/>
      <c r="I44" s="3" t="inlineStr">
        <is>
          <t>07/03/2018</t>
        </is>
      </c>
      <c r="J44" s="3" t="inlineStr">
        <is>
          <t>2018</t>
        </is>
      </c>
      <c r="K44" s="3">
        <f>IF($F44="Hotel",5,IF($F44="Motel",4,IF($F44="Resort",4,IF($F44="Amusement",4,IF($F44="Banquet",3,2)))))+IF($H44&gt;=4,2,IF($H44&gt;=2,1,0))+IF(VALUE($J44)&gt;=2024,2,IF(VALUE($J44)&gt;=2021,1,0))</f>
        <v/>
      </c>
      <c r="L44" s="3">
        <f>IF($K44&gt;=7,"High",IF($K44&gt;=5,"Medium","Low"))</f>
        <v/>
      </c>
      <c r="M44" s="6" t="inlineStr">
        <is>
          <t>Map View</t>
        </is>
      </c>
      <c r="N44" s="7" t="inlineStr">
        <is>
          <t>New</t>
        </is>
      </c>
      <c r="O44" s="7" t="inlineStr"/>
      <c r="P44" s="7" t="inlineStr"/>
      <c r="Q44" s="7" t="inlineStr"/>
      <c r="R44" s="7" t="inlineStr"/>
    </row>
    <row r="45">
      <c r="A45" s="3" t="inlineStr">
        <is>
          <t>Karnal</t>
        </is>
      </c>
      <c r="B45" s="3" t="inlineStr">
        <is>
          <t>CLU/KL-1369A</t>
        </is>
      </c>
      <c r="C45" s="3" t="inlineStr">
        <is>
          <t>RAJESH, RAJEEV, AMIT GOYAL</t>
        </is>
      </c>
      <c r="D45" s="3" t="inlineStr">
        <is>
          <t>Shamgarh</t>
        </is>
      </c>
      <c r="E45" s="3" t="inlineStr">
        <is>
          <t>Hotel With Banquet facilities</t>
        </is>
      </c>
      <c r="F45" s="3" t="inlineStr">
        <is>
          <t>Hotel</t>
        </is>
      </c>
      <c r="G45" s="4" t="n">
        <v>8566.059999999999</v>
      </c>
      <c r="H45" s="5" t="n">
        <v>2.116717652698635</v>
      </c>
      <c r="I45" s="3" t="inlineStr">
        <is>
          <t>02/03/2026</t>
        </is>
      </c>
      <c r="J45" s="3" t="inlineStr">
        <is>
          <t>2026</t>
        </is>
      </c>
      <c r="K45" s="3">
        <f>IF($F45="Hotel",5,IF($F45="Motel",4,IF($F45="Resort",4,IF($F45="Amusement",4,IF($F45="Banquet",3,2)))))+IF($H45&gt;=4,2,IF($H45&gt;=2,1,0))+IF(VALUE($J45)&gt;=2024,2,IF(VALUE($J45)&gt;=2021,1,0))</f>
        <v/>
      </c>
      <c r="L45" s="3">
        <f>IF($K45&gt;=7,"High",IF($K45&gt;=5,"Medium","Low"))</f>
        <v/>
      </c>
      <c r="M45" s="6" t="inlineStr">
        <is>
          <t>Map View</t>
        </is>
      </c>
      <c r="N45" s="7" t="inlineStr">
        <is>
          <t>New</t>
        </is>
      </c>
      <c r="O45" s="7" t="inlineStr"/>
      <c r="P45" s="7" t="inlineStr"/>
      <c r="Q45" s="7" t="inlineStr"/>
      <c r="R45" s="7" t="inlineStr">
        <is>
          <t>Shamgarh GT-Road belt (comparables: The Vivaan, Comfort Inn Taraori). No footprint — gatekeeper/DTCP-file ID.</t>
        </is>
      </c>
    </row>
    <row r="46">
      <c r="A46" s="3" t="inlineStr">
        <is>
          <t>Karnal</t>
        </is>
      </c>
      <c r="B46" s="3" t="inlineStr">
        <is>
          <t>CLU/KL-1245A</t>
        </is>
      </c>
      <c r="C46" s="3" t="inlineStr">
        <is>
          <t>SMT. SUDESH RAWAL</t>
        </is>
      </c>
      <c r="D46" s="3" t="inlineStr">
        <is>
          <t>Barna</t>
        </is>
      </c>
      <c r="E46" s="3" t="inlineStr">
        <is>
          <t>Motel cum Restaurant</t>
        </is>
      </c>
      <c r="F46" s="3" t="inlineStr">
        <is>
          <t>Motel</t>
        </is>
      </c>
      <c r="G46" s="4" t="n">
        <v>6885.42</v>
      </c>
      <c r="H46" s="5" t="n">
        <v>1.701422831528642</v>
      </c>
      <c r="I46" s="3" t="inlineStr">
        <is>
          <t>20/02/2026</t>
        </is>
      </c>
      <c r="J46" s="3" t="inlineStr">
        <is>
          <t>2026</t>
        </is>
      </c>
      <c r="K46" s="3">
        <f>IF($F46="Hotel",5,IF($F46="Motel",4,IF($F46="Resort",4,IF($F46="Amusement",4,IF($F46="Banquet",3,2)))))+IF($H46&gt;=4,2,IF($H46&gt;=2,1,0))+IF(VALUE($J46)&gt;=2024,2,IF(VALUE($J46)&gt;=2021,1,0))</f>
        <v/>
      </c>
      <c r="L46" s="3">
        <f>IF($K46&gt;=7,"High",IF($K46&gt;=5,"Medium","Low"))</f>
        <v/>
      </c>
      <c r="M46" s="6" t="inlineStr">
        <is>
          <t>Map View</t>
        </is>
      </c>
      <c r="N46" s="7" t="inlineStr">
        <is>
          <t>New</t>
        </is>
      </c>
      <c r="O46" s="7" t="inlineStr"/>
      <c r="P46" s="7" t="inlineStr"/>
      <c r="Q46" s="7" t="inlineStr"/>
      <c r="R46" s="7" t="inlineStr"/>
    </row>
    <row r="47">
      <c r="A47" s="3" t="inlineStr">
        <is>
          <t>Karnal</t>
        </is>
      </c>
      <c r="B47" s="3" t="inlineStr">
        <is>
          <t>CLU/KL-1392A</t>
        </is>
      </c>
      <c r="C47" s="3" t="inlineStr">
        <is>
          <t>Arpit Goyal and Sanchit Goyal</t>
        </is>
      </c>
      <c r="D47" s="3" t="inlineStr">
        <is>
          <t>Samana bahu</t>
        </is>
      </c>
      <c r="E47" s="3" t="inlineStr">
        <is>
          <t>Motel with Banquet facility</t>
        </is>
      </c>
      <c r="F47" s="3" t="inlineStr">
        <is>
          <t>Motel</t>
        </is>
      </c>
      <c r="G47" s="4" t="n">
        <v>4870.61</v>
      </c>
      <c r="H47" s="5" t="n">
        <v>1.203552878033834</v>
      </c>
      <c r="I47" s="3" t="inlineStr">
        <is>
          <t>13/04/2026</t>
        </is>
      </c>
      <c r="J47" s="3" t="inlineStr">
        <is>
          <t>2026</t>
        </is>
      </c>
      <c r="K47" s="3">
        <f>IF($F47="Hotel",5,IF($F47="Motel",4,IF($F47="Resort",4,IF($F47="Amusement",4,IF($F47="Banquet",3,2)))))+IF($H47&gt;=4,2,IF($H47&gt;=2,1,0))+IF(VALUE($J47)&gt;=2024,2,IF(VALUE($J47)&gt;=2021,1,0))</f>
        <v/>
      </c>
      <c r="L47" s="3">
        <f>IF($K47&gt;=7,"High",IF($K47&gt;=5,"Medium","Low"))</f>
        <v/>
      </c>
      <c r="M47" s="6" t="inlineStr">
        <is>
          <t>Map View</t>
        </is>
      </c>
      <c r="N47" s="7" t="inlineStr">
        <is>
          <t>New</t>
        </is>
      </c>
      <c r="O47" s="7" t="inlineStr"/>
      <c r="P47" s="7" t="inlineStr"/>
      <c r="Q47" s="7" t="inlineStr"/>
      <c r="R47" s="7" t="inlineStr"/>
    </row>
    <row r="48">
      <c r="A48" s="3" t="inlineStr">
        <is>
          <t>Karnal</t>
        </is>
      </c>
      <c r="B48" s="3" t="inlineStr">
        <is>
          <t>CLU/KL-1400A</t>
        </is>
      </c>
      <c r="C48" s="3" t="inlineStr">
        <is>
          <t>Om Parkash</t>
        </is>
      </c>
      <c r="D48" s="3" t="inlineStr">
        <is>
          <t>Kond</t>
        </is>
      </c>
      <c r="E48" s="3" t="inlineStr">
        <is>
          <t>Non Star Hotel</t>
        </is>
      </c>
      <c r="F48" s="3" t="inlineStr">
        <is>
          <t>Hotel</t>
        </is>
      </c>
      <c r="G48" s="4" t="n">
        <v>4472.7</v>
      </c>
      <c r="H48" s="5" t="n">
        <v>1.105227262618425</v>
      </c>
      <c r="I48" s="3" t="inlineStr">
        <is>
          <t>17/03/2026</t>
        </is>
      </c>
      <c r="J48" s="3" t="inlineStr">
        <is>
          <t>2026</t>
        </is>
      </c>
      <c r="K48" s="3">
        <f>IF($F48="Hotel",5,IF($F48="Motel",4,IF($F48="Resort",4,IF($F48="Amusement",4,IF($F48="Banquet",3,2)))))+IF($H48&gt;=4,2,IF($H48&gt;=2,1,0))+IF(VALUE($J48)&gt;=2024,2,IF(VALUE($J48)&gt;=2021,1,0))</f>
        <v/>
      </c>
      <c r="L48" s="3">
        <f>IF($K48&gt;=7,"High",IF($K48&gt;=5,"Medium","Low"))</f>
        <v/>
      </c>
      <c r="M48" s="6" t="inlineStr">
        <is>
          <t>Map View</t>
        </is>
      </c>
      <c r="N48" s="7" t="inlineStr">
        <is>
          <t>New</t>
        </is>
      </c>
      <c r="O48" s="7" t="inlineStr"/>
      <c r="P48" s="7" t="inlineStr"/>
      <c r="Q48" s="7" t="inlineStr"/>
      <c r="R48" s="7" t="inlineStr"/>
    </row>
    <row r="49">
      <c r="A49" s="3" t="inlineStr">
        <is>
          <t>Karnal</t>
        </is>
      </c>
      <c r="B49" s="3" t="inlineStr">
        <is>
          <t>CLU/KL-1324A</t>
        </is>
      </c>
      <c r="C49" s="3" t="inlineStr">
        <is>
          <t>DESHRAJ SON OF SADHU RAM</t>
        </is>
      </c>
      <c r="D49" s="3" t="inlineStr">
        <is>
          <t>Shamgarh</t>
        </is>
      </c>
      <c r="E49" s="3" t="inlineStr">
        <is>
          <t>Banquet Hall</t>
        </is>
      </c>
      <c r="F49" s="3" t="inlineStr">
        <is>
          <t>Banquet</t>
        </is>
      </c>
      <c r="G49" s="4" t="n">
        <v>24236.5</v>
      </c>
      <c r="H49" s="5" t="n">
        <v>5.988964283419738</v>
      </c>
      <c r="I49" s="3" t="inlineStr">
        <is>
          <t>26/05/2025</t>
        </is>
      </c>
      <c r="J49" s="3" t="inlineStr">
        <is>
          <t>2025</t>
        </is>
      </c>
      <c r="K49" s="3">
        <f>IF($F49="Hotel",5,IF($F49="Motel",4,IF($F49="Resort",4,IF($F49="Amusement",4,IF($F49="Banquet",3,2)))))+IF($H49&gt;=4,2,IF($H49&gt;=2,1,0))+IF(VALUE($J49)&gt;=2024,2,IF(VALUE($J49)&gt;=2021,1,0))</f>
        <v/>
      </c>
      <c r="L49" s="3">
        <f>IF($K49&gt;=7,"High",IF($K49&gt;=5,"Medium","Low"))</f>
        <v/>
      </c>
      <c r="M49" s="6" t="inlineStr">
        <is>
          <t>Map View</t>
        </is>
      </c>
      <c r="N49" s="7" t="inlineStr">
        <is>
          <t>New</t>
        </is>
      </c>
      <c r="O49" s="7" t="inlineStr"/>
      <c r="P49" s="7" t="inlineStr"/>
      <c r="Q49" s="7" t="inlineStr"/>
      <c r="R49" s="7" t="inlineStr"/>
    </row>
    <row r="50">
      <c r="A50" s="3" t="inlineStr">
        <is>
          <t>Karnal</t>
        </is>
      </c>
      <c r="B50" s="3" t="inlineStr">
        <is>
          <t>CLU/KL-1263A</t>
        </is>
      </c>
      <c r="C50" s="3" t="inlineStr">
        <is>
          <t>SUKHVINDER KAUR</t>
        </is>
      </c>
      <c r="D50" s="3" t="inlineStr">
        <is>
          <t>SALARU</t>
        </is>
      </c>
      <c r="E50" s="3" t="inlineStr">
        <is>
          <t>Banquet Hall</t>
        </is>
      </c>
      <c r="F50" s="3" t="inlineStr">
        <is>
          <t>Banquet</t>
        </is>
      </c>
      <c r="G50" s="4" t="n">
        <v>8101.7</v>
      </c>
      <c r="H50" s="5" t="n">
        <v>2.001971899200862</v>
      </c>
      <c r="I50" s="3" t="inlineStr">
        <is>
          <t>17/03/2025</t>
        </is>
      </c>
      <c r="J50" s="3" t="inlineStr">
        <is>
          <t>2025</t>
        </is>
      </c>
      <c r="K50" s="3">
        <f>IF($F50="Hotel",5,IF($F50="Motel",4,IF($F50="Resort",4,IF($F50="Amusement",4,IF($F50="Banquet",3,2)))))+IF($H50&gt;=4,2,IF($H50&gt;=2,1,0))+IF(VALUE($J50)&gt;=2024,2,IF(VALUE($J50)&gt;=2021,1,0))</f>
        <v/>
      </c>
      <c r="L50" s="3">
        <f>IF($K50&gt;=7,"High",IF($K50&gt;=5,"Medium","Low"))</f>
        <v/>
      </c>
      <c r="M50" s="6" t="inlineStr">
        <is>
          <t>Map View</t>
        </is>
      </c>
      <c r="N50" s="7" t="inlineStr">
        <is>
          <t>New</t>
        </is>
      </c>
      <c r="O50" s="7" t="inlineStr"/>
      <c r="P50" s="7" t="inlineStr"/>
      <c r="Q50" s="7" t="inlineStr"/>
      <c r="R50" s="7" t="inlineStr"/>
    </row>
    <row r="51">
      <c r="A51" s="3" t="inlineStr">
        <is>
          <t>Karnal</t>
        </is>
      </c>
      <c r="B51" s="3" t="inlineStr">
        <is>
          <t>CLU/KL-951C</t>
        </is>
      </c>
      <c r="C51" s="3" t="inlineStr">
        <is>
          <t>NARAIN DASS RAHEA</t>
        </is>
      </c>
      <c r="D51" s="3" t="inlineStr">
        <is>
          <t>Nawal</t>
        </is>
      </c>
      <c r="E51" s="3" t="inlineStr">
        <is>
          <t>Motel without Banquet Facility</t>
        </is>
      </c>
      <c r="F51" s="3" t="inlineStr">
        <is>
          <t>Motel</t>
        </is>
      </c>
      <c r="G51" s="4" t="n">
        <v>1214.05</v>
      </c>
      <c r="H51" s="5" t="n">
        <v>0.2999980231586958</v>
      </c>
      <c r="I51" s="3" t="inlineStr">
        <is>
          <t>03/05/2025</t>
        </is>
      </c>
      <c r="J51" s="3" t="inlineStr">
        <is>
          <t>2025</t>
        </is>
      </c>
      <c r="K51" s="3">
        <f>IF($F51="Hotel",5,IF($F51="Motel",4,IF($F51="Resort",4,IF($F51="Amusement",4,IF($F51="Banquet",3,2)))))+IF($H51&gt;=4,2,IF($H51&gt;=2,1,0))+IF(VALUE($J51)&gt;=2024,2,IF(VALUE($J51)&gt;=2021,1,0))</f>
        <v/>
      </c>
      <c r="L51" s="3">
        <f>IF($K51&gt;=7,"High",IF($K51&gt;=5,"Medium","Low"))</f>
        <v/>
      </c>
      <c r="M51" s="6" t="inlineStr">
        <is>
          <t>Map View</t>
        </is>
      </c>
      <c r="N51" s="7" t="inlineStr">
        <is>
          <t>New</t>
        </is>
      </c>
      <c r="O51" s="7" t="inlineStr"/>
      <c r="P51" s="7" t="inlineStr"/>
      <c r="Q51" s="7" t="inlineStr"/>
      <c r="R51" s="7" t="inlineStr"/>
    </row>
    <row r="52">
      <c r="A52" s="3" t="inlineStr">
        <is>
          <t>Karnal</t>
        </is>
      </c>
      <c r="B52" s="3" t="inlineStr">
        <is>
          <t>CLU/KL-1302A</t>
        </is>
      </c>
      <c r="C52" s="3" t="inlineStr">
        <is>
          <t>Deventure Hotels</t>
        </is>
      </c>
      <c r="D52" s="3" t="inlineStr">
        <is>
          <t>Basdhara</t>
        </is>
      </c>
      <c r="E52" s="3" t="inlineStr">
        <is>
          <t>Hotel With Banquet facilities</t>
        </is>
      </c>
      <c r="F52" s="3" t="inlineStr">
        <is>
          <t>Hotel</t>
        </is>
      </c>
      <c r="G52" s="4" t="n">
        <v>19967.7</v>
      </c>
      <c r="H52" s="5" t="n">
        <v>4.934121763540127</v>
      </c>
      <c r="I52" s="3" t="inlineStr">
        <is>
          <t>28/10/2024</t>
        </is>
      </c>
      <c r="J52" s="3" t="inlineStr">
        <is>
          <t>2024</t>
        </is>
      </c>
      <c r="K52" s="3">
        <f>IF($F52="Hotel",5,IF($F52="Motel",4,IF($F52="Resort",4,IF($F52="Amusement",4,IF($F52="Banquet",3,2)))))+IF($H52&gt;=4,2,IF($H52&gt;=2,1,0))+IF(VALUE($J52)&gt;=2024,2,IF(VALUE($J52)&gt;=2021,1,0))</f>
        <v/>
      </c>
      <c r="L52" s="3">
        <f>IF($K52&gt;=7,"High",IF($K52&gt;=5,"Medium","Low"))</f>
        <v/>
      </c>
      <c r="M52" s="6" t="inlineStr">
        <is>
          <t>Map View</t>
        </is>
      </c>
      <c r="N52" s="7" t="inlineStr">
        <is>
          <t>Contact found</t>
        </is>
      </c>
      <c r="O52" s="7" t="inlineStr">
        <is>
          <t>Rajeev Mukul — Founder &amp; MD, Deventure Hotel and Resorts P.L. (CIN U55101DL2010PTC205366)</t>
        </is>
      </c>
      <c r="P52" s="7" t="inlineStr">
        <is>
          <t>saleshead@deventurehotel.com; gm.karnal@deventurehotel.com; +91 93178 88989; 0184-3540400</t>
        </is>
      </c>
      <c r="Q52" s="7" t="inlineStr"/>
      <c r="R52" s="7" t="inlineStr">
        <is>
          <t>Operating chain (Karnal NH-44, Shimla Hills, Delhi x2, Sarovar Portico Kapashera). Basdhara CLU = highway-resort expansion, unannounced. Src: deventurehotel.com + ZaubaCorp</t>
        </is>
      </c>
    </row>
    <row r="53">
      <c r="A53" s="3" t="inlineStr">
        <is>
          <t>Karnal</t>
        </is>
      </c>
      <c r="B53" s="3" t="inlineStr">
        <is>
          <t>CLU/KL-1247A</t>
        </is>
      </c>
      <c r="C53" s="3" t="inlineStr">
        <is>
          <t>MANU CHAWLA</t>
        </is>
      </c>
      <c r="D53" s="3" t="inlineStr">
        <is>
          <t>Kurtail</t>
        </is>
      </c>
      <c r="E53" s="3" t="inlineStr">
        <is>
          <t>Banquet Hall</t>
        </is>
      </c>
      <c r="F53" s="3" t="inlineStr">
        <is>
          <t>Banquet</t>
        </is>
      </c>
      <c r="G53" s="4" t="n">
        <v>14540</v>
      </c>
      <c r="H53" s="5" t="n">
        <v>3.592909070242114</v>
      </c>
      <c r="I53" s="3" t="inlineStr">
        <is>
          <t>28/06/2024</t>
        </is>
      </c>
      <c r="J53" s="3" t="inlineStr">
        <is>
          <t>2024</t>
        </is>
      </c>
      <c r="K53" s="3">
        <f>IF($F53="Hotel",5,IF($F53="Motel",4,IF($F53="Resort",4,IF($F53="Amusement",4,IF($F53="Banquet",3,2)))))+IF($H53&gt;=4,2,IF($H53&gt;=2,1,0))+IF(VALUE($J53)&gt;=2024,2,IF(VALUE($J53)&gt;=2021,1,0))</f>
        <v/>
      </c>
      <c r="L53" s="3">
        <f>IF($K53&gt;=7,"High",IF($K53&gt;=5,"Medium","Low"))</f>
        <v/>
      </c>
      <c r="M53" s="6" t="inlineStr">
        <is>
          <t>Map View</t>
        </is>
      </c>
      <c r="N53" s="7" t="inlineStr">
        <is>
          <t>New</t>
        </is>
      </c>
      <c r="O53" s="7" t="inlineStr"/>
      <c r="P53" s="7" t="inlineStr"/>
      <c r="Q53" s="7" t="inlineStr"/>
      <c r="R53" s="7" t="inlineStr"/>
    </row>
    <row r="54">
      <c r="A54" s="3" t="inlineStr">
        <is>
          <t>Karnal</t>
        </is>
      </c>
      <c r="B54" s="3" t="inlineStr">
        <is>
          <t>CLU/KL-1206A</t>
        </is>
      </c>
      <c r="C54" s="3" t="inlineStr">
        <is>
          <t>JAGATBIR SINGH SALAUJA</t>
        </is>
      </c>
      <c r="D54" s="3" t="inlineStr">
        <is>
          <t>Pipliwali</t>
        </is>
      </c>
      <c r="E54" s="3" t="inlineStr">
        <is>
          <t>Farm house</t>
        </is>
      </c>
      <c r="F54" s="3" t="inlineStr">
        <is>
          <t>Farmhouse</t>
        </is>
      </c>
      <c r="G54" s="4" t="n">
        <v>5842.6</v>
      </c>
      <c r="H54" s="5" t="n">
        <v>1.443736625433052</v>
      </c>
      <c r="I54" s="3" t="inlineStr">
        <is>
          <t>28/06/2024</t>
        </is>
      </c>
      <c r="J54" s="3" t="inlineStr">
        <is>
          <t>2024</t>
        </is>
      </c>
      <c r="K54" s="3">
        <f>IF($F54="Hotel",5,IF($F54="Motel",4,IF($F54="Resort",4,IF($F54="Amusement",4,IF($F54="Banquet",3,2)))))+IF($H54&gt;=4,2,IF($H54&gt;=2,1,0))+IF(VALUE($J54)&gt;=2024,2,IF(VALUE($J54)&gt;=2021,1,0))</f>
        <v/>
      </c>
      <c r="L54" s="3">
        <f>IF($K54&gt;=7,"High",IF($K54&gt;=5,"Medium","Low"))</f>
        <v/>
      </c>
      <c r="M54" s="6" t="inlineStr">
        <is>
          <t>Map View</t>
        </is>
      </c>
      <c r="N54" s="7" t="inlineStr">
        <is>
          <t>New</t>
        </is>
      </c>
      <c r="O54" s="7" t="inlineStr"/>
      <c r="P54" s="7" t="inlineStr"/>
      <c r="Q54" s="7" t="inlineStr"/>
      <c r="R54" s="7" t="inlineStr"/>
    </row>
    <row r="55">
      <c r="A55" s="3" t="inlineStr">
        <is>
          <t>Karnal</t>
        </is>
      </c>
      <c r="B55" s="3" t="inlineStr">
        <is>
          <t>CLU/KL-825C</t>
        </is>
      </c>
      <c r="C55" s="3" t="inlineStr">
        <is>
          <t>Rupinder Pal Singh</t>
        </is>
      </c>
      <c r="D55" s="3" t="inlineStr">
        <is>
          <t>Samana bahu</t>
        </is>
      </c>
      <c r="E55" s="3" t="inlineStr">
        <is>
          <t>Hotel With Banquet facilities</t>
        </is>
      </c>
      <c r="F55" s="3" t="inlineStr">
        <is>
          <t>Hotel</t>
        </is>
      </c>
      <c r="G55" s="4" t="n">
        <v>2998.58</v>
      </c>
      <c r="H55" s="5" t="n">
        <v>0.7409645997143464</v>
      </c>
      <c r="I55" s="3" t="inlineStr">
        <is>
          <t>05/12/2023</t>
        </is>
      </c>
      <c r="J55" s="3" t="inlineStr">
        <is>
          <t>2023</t>
        </is>
      </c>
      <c r="K55" s="3">
        <f>IF($F55="Hotel",5,IF($F55="Motel",4,IF($F55="Resort",4,IF($F55="Amusement",4,IF($F55="Banquet",3,2)))))+IF($H55&gt;=4,2,IF($H55&gt;=2,1,0))+IF(VALUE($J55)&gt;=2024,2,IF(VALUE($J55)&gt;=2021,1,0))</f>
        <v/>
      </c>
      <c r="L55" s="3">
        <f>IF($K55&gt;=7,"High",IF($K55&gt;=5,"Medium","Low"))</f>
        <v/>
      </c>
      <c r="M55" s="6" t="inlineStr">
        <is>
          <t>Map View</t>
        </is>
      </c>
      <c r="N55" s="7" t="inlineStr">
        <is>
          <t>New</t>
        </is>
      </c>
      <c r="O55" s="7" t="inlineStr"/>
      <c r="P55" s="7" t="inlineStr"/>
      <c r="Q55" s="7" t="inlineStr"/>
      <c r="R55" s="7" t="inlineStr"/>
    </row>
    <row r="56">
      <c r="A56" s="3" t="inlineStr">
        <is>
          <t>Karnal</t>
        </is>
      </c>
      <c r="B56" s="3" t="inlineStr">
        <is>
          <t>CLU/KL-956B</t>
        </is>
      </c>
      <c r="C56" s="3" t="inlineStr">
        <is>
          <t>ANNU BANSAL</t>
        </is>
      </c>
      <c r="D56" s="3" t="inlineStr">
        <is>
          <t>Basdhara</t>
        </is>
      </c>
      <c r="E56" s="3" t="inlineStr">
        <is>
          <t>Banquet Hall</t>
        </is>
      </c>
      <c r="F56" s="3" t="inlineStr">
        <is>
          <t>Banquet</t>
        </is>
      </c>
      <c r="G56" s="4" t="n">
        <v>15180.9</v>
      </c>
      <c r="H56" s="5" t="n">
        <v>3.751278769218604</v>
      </c>
      <c r="I56" s="3" t="inlineStr">
        <is>
          <t>19/04/2022</t>
        </is>
      </c>
      <c r="J56" s="3" t="inlineStr">
        <is>
          <t>2022</t>
        </is>
      </c>
      <c r="K56" s="3">
        <f>IF($F56="Hotel",5,IF($F56="Motel",4,IF($F56="Resort",4,IF($F56="Amusement",4,IF($F56="Banquet",3,2)))))+IF($H56&gt;=4,2,IF($H56&gt;=2,1,0))+IF(VALUE($J56)&gt;=2024,2,IF(VALUE($J56)&gt;=2021,1,0))</f>
        <v/>
      </c>
      <c r="L56" s="3">
        <f>IF($K56&gt;=7,"High",IF($K56&gt;=5,"Medium","Low"))</f>
        <v/>
      </c>
      <c r="M56" s="6" t="inlineStr">
        <is>
          <t>Map View</t>
        </is>
      </c>
      <c r="N56" s="7" t="inlineStr">
        <is>
          <t>New</t>
        </is>
      </c>
      <c r="O56" s="7" t="inlineStr"/>
      <c r="P56" s="7" t="inlineStr"/>
      <c r="Q56" s="7" t="inlineStr"/>
      <c r="R56" s="7" t="inlineStr"/>
    </row>
    <row r="57">
      <c r="A57" s="3" t="inlineStr">
        <is>
          <t>Karnal</t>
        </is>
      </c>
      <c r="B57" s="3" t="inlineStr">
        <is>
          <t>CLU/KL-1146A</t>
        </is>
      </c>
      <c r="C57" s="3" t="inlineStr">
        <is>
          <t>Brij Kumar Sharma and Vijay Sharma</t>
        </is>
      </c>
      <c r="D57" s="3" t="inlineStr">
        <is>
          <t>Nawal</t>
        </is>
      </c>
      <c r="E57" s="3" t="inlineStr">
        <is>
          <t>Banquet Hall</t>
        </is>
      </c>
      <c r="F57" s="3" t="inlineStr">
        <is>
          <t>Banquet</t>
        </is>
      </c>
      <c r="G57" s="4" t="n">
        <v>11014.9</v>
      </c>
      <c r="H57" s="5" t="n">
        <v>2.721838660096964</v>
      </c>
      <c r="I57" s="3" t="inlineStr">
        <is>
          <t>01/12/2022</t>
        </is>
      </c>
      <c r="J57" s="3" t="inlineStr">
        <is>
          <t>2022</t>
        </is>
      </c>
      <c r="K57" s="3">
        <f>IF($F57="Hotel",5,IF($F57="Motel",4,IF($F57="Resort",4,IF($F57="Amusement",4,IF($F57="Banquet",3,2)))))+IF($H57&gt;=4,2,IF($H57&gt;=2,1,0))+IF(VALUE($J57)&gt;=2024,2,IF(VALUE($J57)&gt;=2021,1,0))</f>
        <v/>
      </c>
      <c r="L57" s="3">
        <f>IF($K57&gt;=7,"High",IF($K57&gt;=5,"Medium","Low"))</f>
        <v/>
      </c>
      <c r="M57" s="6" t="inlineStr">
        <is>
          <t>Map View</t>
        </is>
      </c>
      <c r="N57" s="7" t="inlineStr">
        <is>
          <t>New</t>
        </is>
      </c>
      <c r="O57" s="7" t="inlineStr"/>
      <c r="P57" s="7" t="inlineStr"/>
      <c r="Q57" s="7" t="inlineStr"/>
      <c r="R57" s="7" t="inlineStr"/>
    </row>
    <row r="58">
      <c r="A58" s="3" t="inlineStr">
        <is>
          <t>Karnal</t>
        </is>
      </c>
      <c r="B58" s="3" t="inlineStr">
        <is>
          <t>CLU/KL-1105A</t>
        </is>
      </c>
      <c r="C58" s="3" t="inlineStr">
        <is>
          <t>Vipin Mann Son of Sh. Bhagat Singh Mann</t>
        </is>
      </c>
      <c r="D58" s="3" t="inlineStr">
        <is>
          <t>Ghoghripur</t>
        </is>
      </c>
      <c r="E58" s="3" t="inlineStr">
        <is>
          <t>Banquet Hall</t>
        </is>
      </c>
      <c r="F58" s="3" t="inlineStr">
        <is>
          <t>Banquet</t>
        </is>
      </c>
      <c r="G58" s="4" t="n">
        <v>9611.299999999999</v>
      </c>
      <c r="H58" s="5" t="n">
        <v>2.375001853288722</v>
      </c>
      <c r="I58" s="3" t="inlineStr">
        <is>
          <t>28/03/2022</t>
        </is>
      </c>
      <c r="J58" s="3" t="inlineStr">
        <is>
          <t>2022</t>
        </is>
      </c>
      <c r="K58" s="3">
        <f>IF($F58="Hotel",5,IF($F58="Motel",4,IF($F58="Resort",4,IF($F58="Amusement",4,IF($F58="Banquet",3,2)))))+IF($H58&gt;=4,2,IF($H58&gt;=2,1,0))+IF(VALUE($J58)&gt;=2024,2,IF(VALUE($J58)&gt;=2021,1,0))</f>
        <v/>
      </c>
      <c r="L58" s="3">
        <f>IF($K58&gt;=7,"High",IF($K58&gt;=5,"Medium","Low"))</f>
        <v/>
      </c>
      <c r="M58" s="6" t="inlineStr">
        <is>
          <t>Map View</t>
        </is>
      </c>
      <c r="N58" s="7" t="inlineStr">
        <is>
          <t>New</t>
        </is>
      </c>
      <c r="O58" s="7" t="inlineStr"/>
      <c r="P58" s="7" t="inlineStr"/>
      <c r="Q58" s="7" t="inlineStr"/>
      <c r="R58" s="7" t="inlineStr"/>
    </row>
    <row r="59">
      <c r="A59" s="3" t="inlineStr">
        <is>
          <t>Karnal</t>
        </is>
      </c>
      <c r="B59" s="3" t="inlineStr">
        <is>
          <t>CLU/KL-1071A</t>
        </is>
      </c>
      <c r="C59" s="3" t="inlineStr">
        <is>
          <t>MS ROYAL ENCLAVE</t>
        </is>
      </c>
      <c r="D59" s="3" t="inlineStr">
        <is>
          <t>Khanda kheri</t>
        </is>
      </c>
      <c r="E59" s="3" t="inlineStr">
        <is>
          <t>Banquet Hall</t>
        </is>
      </c>
      <c r="F59" s="3" t="inlineStr">
        <is>
          <t>Banquet</t>
        </is>
      </c>
      <c r="G59" s="4" t="n">
        <v>12545.1</v>
      </c>
      <c r="H59" s="5" t="n">
        <v>3.099958980542939</v>
      </c>
      <c r="I59" s="3" t="inlineStr">
        <is>
          <t>09/10/2021</t>
        </is>
      </c>
      <c r="J59" s="3" t="inlineStr">
        <is>
          <t>2021</t>
        </is>
      </c>
      <c r="K59" s="3">
        <f>IF($F59="Hotel",5,IF($F59="Motel",4,IF($F59="Resort",4,IF($F59="Amusement",4,IF($F59="Banquet",3,2)))))+IF($H59&gt;=4,2,IF($H59&gt;=2,1,0))+IF(VALUE($J59)&gt;=2024,2,IF(VALUE($J59)&gt;=2021,1,0))</f>
        <v/>
      </c>
      <c r="L59" s="3">
        <f>IF($K59&gt;=7,"High",IF($K59&gt;=5,"Medium","Low"))</f>
        <v/>
      </c>
      <c r="M59" s="6" t="inlineStr">
        <is>
          <t>Map View</t>
        </is>
      </c>
      <c r="N59" s="7" t="inlineStr">
        <is>
          <t>New</t>
        </is>
      </c>
      <c r="O59" s="7" t="inlineStr"/>
      <c r="P59" s="7" t="inlineStr"/>
      <c r="Q59" s="7" t="inlineStr"/>
      <c r="R59" s="7" t="inlineStr"/>
    </row>
    <row r="60">
      <c r="A60" s="3" t="inlineStr">
        <is>
          <t>Karnal</t>
        </is>
      </c>
      <c r="B60" s="3" t="inlineStr">
        <is>
          <t>CLU/KL-945</t>
        </is>
      </c>
      <c r="C60" s="3" t="inlineStr">
        <is>
          <t>Smt. Shalini Gupta W/o Sh. Sandeep Kumar</t>
        </is>
      </c>
      <c r="D60" s="3" t="inlineStr">
        <is>
          <t>Karnal</t>
        </is>
      </c>
      <c r="E60" s="3" t="inlineStr">
        <is>
          <t>Banquet Hall</t>
        </is>
      </c>
      <c r="F60" s="3" t="inlineStr">
        <is>
          <t>Banquet</t>
        </is>
      </c>
      <c r="G60" s="4" t="n"/>
      <c r="H60" s="5" t="n"/>
      <c r="I60" s="3" t="inlineStr">
        <is>
          <t>19/03/2019</t>
        </is>
      </c>
      <c r="J60" s="3" t="inlineStr">
        <is>
          <t>2019</t>
        </is>
      </c>
      <c r="K60" s="3">
        <f>IF($F60="Hotel",5,IF($F60="Motel",4,IF($F60="Resort",4,IF($F60="Amusement",4,IF($F60="Banquet",3,2)))))+IF($H60&gt;=4,2,IF($H60&gt;=2,1,0))+IF(VALUE($J60)&gt;=2024,2,IF(VALUE($J60)&gt;=2021,1,0))</f>
        <v/>
      </c>
      <c r="L60" s="3">
        <f>IF($K60&gt;=7,"High",IF($K60&gt;=5,"Medium","Low"))</f>
        <v/>
      </c>
      <c r="M60" s="6" t="inlineStr">
        <is>
          <t>Map View</t>
        </is>
      </c>
      <c r="N60" s="7" t="inlineStr">
        <is>
          <t>New</t>
        </is>
      </c>
      <c r="O60" s="7" t="inlineStr"/>
      <c r="P60" s="7" t="inlineStr"/>
      <c r="Q60" s="7" t="inlineStr"/>
      <c r="R60" s="7" t="inlineStr"/>
    </row>
    <row r="61">
      <c r="A61" s="3" t="inlineStr">
        <is>
          <t>Karnal</t>
        </is>
      </c>
      <c r="B61" s="3" t="inlineStr">
        <is>
          <t>CLU/KL-916</t>
        </is>
      </c>
      <c r="C61" s="3" t="inlineStr">
        <is>
          <t>S/Sh. Mahender Kumar, Anil Kumar Ss/o Sh. Ved Parkash, Smt. Santosh Rani W/o Sh. Mahender Kumar</t>
        </is>
      </c>
      <c r="D61" s="3" t="inlineStr">
        <is>
          <t>Assandh</t>
        </is>
      </c>
      <c r="E61" s="3" t="inlineStr">
        <is>
          <t>Motel without Banquet Facility</t>
        </is>
      </c>
      <c r="F61" s="3" t="inlineStr">
        <is>
          <t>Motel</t>
        </is>
      </c>
      <c r="G61" s="4" t="n"/>
      <c r="H61" s="5" t="n"/>
      <c r="I61" s="3" t="inlineStr">
        <is>
          <t>01/05/2018</t>
        </is>
      </c>
      <c r="J61" s="3" t="inlineStr">
        <is>
          <t>2018</t>
        </is>
      </c>
      <c r="K61" s="3">
        <f>IF($F61="Hotel",5,IF($F61="Motel",4,IF($F61="Resort",4,IF($F61="Amusement",4,IF($F61="Banquet",3,2)))))+IF($H61&gt;=4,2,IF($H61&gt;=2,1,0))+IF(VALUE($J61)&gt;=2024,2,IF(VALUE($J61)&gt;=2021,1,0))</f>
        <v/>
      </c>
      <c r="L61" s="3">
        <f>IF($K61&gt;=7,"High",IF($K61&gt;=5,"Medium","Low"))</f>
        <v/>
      </c>
      <c r="M61" s="6" t="inlineStr">
        <is>
          <t>Map View</t>
        </is>
      </c>
      <c r="N61" s="7" t="inlineStr">
        <is>
          <t>New</t>
        </is>
      </c>
      <c r="O61" s="7" t="inlineStr"/>
      <c r="P61" s="7" t="inlineStr"/>
      <c r="Q61" s="7" t="inlineStr"/>
      <c r="R61" s="7" t="inlineStr"/>
    </row>
    <row r="62">
      <c r="A62" s="3" t="inlineStr">
        <is>
          <t>Karnal</t>
        </is>
      </c>
      <c r="B62" s="3" t="inlineStr">
        <is>
          <t>CLU/KL-876</t>
        </is>
      </c>
      <c r="C62" s="3" t="inlineStr">
        <is>
          <t>Smt. Annu Bansal W/o Sh. Ajay Bansal</t>
        </is>
      </c>
      <c r="D62" s="3" t="inlineStr">
        <is>
          <t>Gharaunda</t>
        </is>
      </c>
      <c r="E62" s="3" t="inlineStr">
        <is>
          <t>Amusement Park</t>
        </is>
      </c>
      <c r="F62" s="3" t="inlineStr">
        <is>
          <t>Amusement</t>
        </is>
      </c>
      <c r="G62" s="4" t="n"/>
      <c r="H62" s="5" t="n"/>
      <c r="I62" s="3" t="inlineStr">
        <is>
          <t>06/03/2017</t>
        </is>
      </c>
      <c r="J62" s="3" t="inlineStr">
        <is>
          <t>2017</t>
        </is>
      </c>
      <c r="K62" s="3">
        <f>IF($F62="Hotel",5,IF($F62="Motel",4,IF($F62="Resort",4,IF($F62="Amusement",4,IF($F62="Banquet",3,2)))))+IF($H62&gt;=4,2,IF($H62&gt;=2,1,0))+IF(VALUE($J62)&gt;=2024,2,IF(VALUE($J62)&gt;=2021,1,0))</f>
        <v/>
      </c>
      <c r="L62" s="3">
        <f>IF($K62&gt;=7,"High",IF($K62&gt;=5,"Medium","Low"))</f>
        <v/>
      </c>
      <c r="M62" s="6" t="inlineStr">
        <is>
          <t>Map View</t>
        </is>
      </c>
      <c r="N62" s="7" t="inlineStr">
        <is>
          <t>New</t>
        </is>
      </c>
      <c r="O62" s="7" t="inlineStr"/>
      <c r="P62" s="7" t="inlineStr"/>
      <c r="Q62" s="7" t="inlineStr"/>
      <c r="R62" s="7" t="inlineStr"/>
    </row>
    <row r="63">
      <c r="A63" s="3" t="inlineStr">
        <is>
          <t>Karnal</t>
        </is>
      </c>
      <c r="B63" s="3" t="inlineStr">
        <is>
          <t>CLU/KL-904</t>
        </is>
      </c>
      <c r="C63" s="3" t="inlineStr">
        <is>
          <t>Sh. Surender Pal Singh S/o Sh. Dilip Singh</t>
        </is>
      </c>
      <c r="D63" s="3" t="inlineStr">
        <is>
          <t>Nilokheri-Taraori</t>
        </is>
      </c>
      <c r="E63" s="3" t="inlineStr">
        <is>
          <t>Amusement Park</t>
        </is>
      </c>
      <c r="F63" s="3" t="inlineStr">
        <is>
          <t>Amusement</t>
        </is>
      </c>
      <c r="G63" s="4" t="n"/>
      <c r="H63" s="5" t="n"/>
      <c r="I63" s="3" t="inlineStr">
        <is>
          <t>29/11/2017</t>
        </is>
      </c>
      <c r="J63" s="3" t="inlineStr">
        <is>
          <t>2017</t>
        </is>
      </c>
      <c r="K63" s="3">
        <f>IF($F63="Hotel",5,IF($F63="Motel",4,IF($F63="Resort",4,IF($F63="Amusement",4,IF($F63="Banquet",3,2)))))+IF($H63&gt;=4,2,IF($H63&gt;=2,1,0))+IF(VALUE($J63)&gt;=2024,2,IF(VALUE($J63)&gt;=2021,1,0))</f>
        <v/>
      </c>
      <c r="L63" s="3">
        <f>IF($K63&gt;=7,"High",IF($K63&gt;=5,"Medium","Low"))</f>
        <v/>
      </c>
      <c r="M63" s="6" t="inlineStr">
        <is>
          <t>Map View</t>
        </is>
      </c>
      <c r="N63" s="7" t="inlineStr">
        <is>
          <t>New</t>
        </is>
      </c>
      <c r="O63" s="7" t="inlineStr"/>
      <c r="P63" s="7" t="inlineStr"/>
      <c r="Q63" s="7" t="inlineStr"/>
      <c r="R63" s="7" t="inlineStr"/>
    </row>
    <row r="64">
      <c r="A64" s="3" t="inlineStr">
        <is>
          <t>Kurukshetra</t>
        </is>
      </c>
      <c r="B64" s="3" t="inlineStr">
        <is>
          <t>CLU/KA-806A</t>
        </is>
      </c>
      <c r="C64" s="3" t="inlineStr">
        <is>
          <t>Ms Dayal rice and general miils</t>
        </is>
      </c>
      <c r="D64" s="3" t="inlineStr">
        <is>
          <t>Niwarsi</t>
        </is>
      </c>
      <c r="E64" s="3" t="inlineStr">
        <is>
          <t>Motel with Banquet facility</t>
        </is>
      </c>
      <c r="F64" s="3" t="inlineStr">
        <is>
          <t>Motel</t>
        </is>
      </c>
      <c r="G64" s="4" t="n">
        <v>10257.3</v>
      </c>
      <c r="H64" s="5" t="n">
        <v>2.534631788596591</v>
      </c>
      <c r="I64" s="3" t="inlineStr">
        <is>
          <t>06/07/2026</t>
        </is>
      </c>
      <c r="J64" s="3" t="inlineStr">
        <is>
          <t>2026</t>
        </is>
      </c>
      <c r="K64" s="3">
        <f>IF($F64="Hotel",5,IF($F64="Motel",4,IF($F64="Resort",4,IF($F64="Amusement",4,IF($F64="Banquet",3,2)))))+IF($H64&gt;=4,2,IF($H64&gt;=2,1,0))+IF(VALUE($J64)&gt;=2024,2,IF(VALUE($J64)&gt;=2021,1,0))</f>
        <v/>
      </c>
      <c r="L64" s="3">
        <f>IF($K64&gt;=7,"High",IF($K64&gt;=5,"Medium","Low"))</f>
        <v/>
      </c>
      <c r="M64" s="6" t="inlineStr">
        <is>
          <t>Map View</t>
        </is>
      </c>
      <c r="N64" s="7" t="inlineStr">
        <is>
          <t>Lead - verify</t>
        </is>
      </c>
      <c r="O64" s="7" t="inlineStr">
        <is>
          <t>UNVERIFIED: only rice mill in village Niwarsi = Goel Rice Mills, Pipli Rd, Ladwa (est. 2019) — plausibly same family, different firm name</t>
        </is>
      </c>
      <c r="P64" s="7" t="inlineStr">
        <is>
          <t>sales@goelricemills.com; +91 89502 23456</t>
        </is>
      </c>
      <c r="Q64" s="7" t="inlineStr"/>
      <c r="R64" s="7" t="inlineStr">
        <is>
          <t>Inference, not confirmation. Src: goelricemills.com</t>
        </is>
      </c>
    </row>
    <row r="65">
      <c r="A65" s="3" t="inlineStr">
        <is>
          <t>Kurukshetra</t>
        </is>
      </c>
      <c r="B65" s="3" t="inlineStr">
        <is>
          <t>CLU/KA-805B</t>
        </is>
      </c>
      <c r="C65" s="3" t="inlineStr">
        <is>
          <t>DECENT INFRAHOMES LLP</t>
        </is>
      </c>
      <c r="D65" s="3" t="inlineStr">
        <is>
          <t>Samani</t>
        </is>
      </c>
      <c r="E65" s="3" t="inlineStr">
        <is>
          <t>Banquet Hall</t>
        </is>
      </c>
      <c r="F65" s="3" t="inlineStr">
        <is>
          <t>Banquet</t>
        </is>
      </c>
      <c r="G65" s="4" t="n">
        <v>6466.3</v>
      </c>
      <c r="H65" s="5" t="n">
        <v>1.597856115605679</v>
      </c>
      <c r="I65" s="3" t="inlineStr">
        <is>
          <t>18/03/2026</t>
        </is>
      </c>
      <c r="J65" s="3" t="inlineStr">
        <is>
          <t>2026</t>
        </is>
      </c>
      <c r="K65" s="3">
        <f>IF($F65="Hotel",5,IF($F65="Motel",4,IF($F65="Resort",4,IF($F65="Amusement",4,IF($F65="Banquet",3,2)))))+IF($H65&gt;=4,2,IF($H65&gt;=2,1,0))+IF(VALUE($J65)&gt;=2024,2,IF(VALUE($J65)&gt;=2021,1,0))</f>
        <v/>
      </c>
      <c r="L65" s="3">
        <f>IF($K65&gt;=7,"High",IF($K65&gt;=5,"Medium","Low"))</f>
        <v/>
      </c>
      <c r="M65" s="6" t="inlineStr">
        <is>
          <t>Map View</t>
        </is>
      </c>
      <c r="N65" s="7" t="inlineStr">
        <is>
          <t>New</t>
        </is>
      </c>
      <c r="O65" s="7" t="inlineStr"/>
      <c r="P65" s="7" t="inlineStr"/>
      <c r="Q65" s="7" t="inlineStr"/>
      <c r="R65" s="7" t="inlineStr"/>
    </row>
    <row r="66">
      <c r="A66" s="3" t="inlineStr">
        <is>
          <t>Kurukshetra</t>
        </is>
      </c>
      <c r="B66" s="3" t="inlineStr">
        <is>
          <t>CLU/KA-760A</t>
        </is>
      </c>
      <c r="C66" s="3" t="inlineStr">
        <is>
          <t>RAJESH SHARMA AND ASHWANI KUMAR</t>
        </is>
      </c>
      <c r="D66" s="3" t="inlineStr">
        <is>
          <t>Samalkhi</t>
        </is>
      </c>
      <c r="E66" s="3" t="inlineStr">
        <is>
          <t>Motel cum Restaurant</t>
        </is>
      </c>
      <c r="F66" s="3" t="inlineStr">
        <is>
          <t>Motel</t>
        </is>
      </c>
      <c r="G66" s="4" t="n">
        <v>2172.4</v>
      </c>
      <c r="H66" s="5" t="n">
        <v>0.5368112561343856</v>
      </c>
      <c r="I66" s="3" t="inlineStr">
        <is>
          <t>20/05/2026</t>
        </is>
      </c>
      <c r="J66" s="3" t="inlineStr">
        <is>
          <t>2026</t>
        </is>
      </c>
      <c r="K66" s="3">
        <f>IF($F66="Hotel",5,IF($F66="Motel",4,IF($F66="Resort",4,IF($F66="Amusement",4,IF($F66="Banquet",3,2)))))+IF($H66&gt;=4,2,IF($H66&gt;=2,1,0))+IF(VALUE($J66)&gt;=2024,2,IF(VALUE($J66)&gt;=2021,1,0))</f>
        <v/>
      </c>
      <c r="L66" s="3">
        <f>IF($K66&gt;=7,"High",IF($K66&gt;=5,"Medium","Low"))</f>
        <v/>
      </c>
      <c r="M66" s="6" t="inlineStr">
        <is>
          <t>Map View</t>
        </is>
      </c>
      <c r="N66" s="7" t="inlineStr">
        <is>
          <t>New</t>
        </is>
      </c>
      <c r="O66" s="7" t="inlineStr"/>
      <c r="P66" s="7" t="inlineStr"/>
      <c r="Q66" s="7" t="inlineStr"/>
      <c r="R66" s="7" t="inlineStr"/>
    </row>
    <row r="67">
      <c r="A67" s="3" t="inlineStr">
        <is>
          <t>Kurukshetra</t>
        </is>
      </c>
      <c r="B67" s="3" t="inlineStr">
        <is>
          <t>CLU/KA-853A</t>
        </is>
      </c>
      <c r="C67" s="3" t="inlineStr">
        <is>
          <t>Baljeet Kaur</t>
        </is>
      </c>
      <c r="D67" s="3" t="inlineStr">
        <is>
          <t>MATHANA</t>
        </is>
      </c>
      <c r="E67" s="3" t="inlineStr">
        <is>
          <t>Motel cum Restaurant</t>
        </is>
      </c>
      <c r="F67" s="3" t="inlineStr">
        <is>
          <t>Motel</t>
        </is>
      </c>
      <c r="G67" s="4" t="n">
        <v>2057.6</v>
      </c>
      <c r="H67" s="5" t="n">
        <v>0.508443583420232</v>
      </c>
      <c r="I67" s="3" t="inlineStr">
        <is>
          <t>23/04/2026</t>
        </is>
      </c>
      <c r="J67" s="3" t="inlineStr">
        <is>
          <t>2026</t>
        </is>
      </c>
      <c r="K67" s="3">
        <f>IF($F67="Hotel",5,IF($F67="Motel",4,IF($F67="Resort",4,IF($F67="Amusement",4,IF($F67="Banquet",3,2)))))+IF($H67&gt;=4,2,IF($H67&gt;=2,1,0))+IF(VALUE($J67)&gt;=2024,2,IF(VALUE($J67)&gt;=2021,1,0))</f>
        <v/>
      </c>
      <c r="L67" s="3">
        <f>IF($K67&gt;=7,"High",IF($K67&gt;=5,"Medium","Low"))</f>
        <v/>
      </c>
      <c r="M67" s="6" t="inlineStr">
        <is>
          <t>Map View</t>
        </is>
      </c>
      <c r="N67" s="7" t="inlineStr">
        <is>
          <t>New</t>
        </is>
      </c>
      <c r="O67" s="7" t="inlineStr"/>
      <c r="P67" s="7" t="inlineStr"/>
      <c r="Q67" s="7" t="inlineStr"/>
      <c r="R67" s="7" t="inlineStr"/>
    </row>
    <row r="68">
      <c r="A68" s="3" t="inlineStr">
        <is>
          <t>Kurukshetra</t>
        </is>
      </c>
      <c r="B68" s="3" t="inlineStr">
        <is>
          <t>CLU/KA-807A</t>
        </is>
      </c>
      <c r="C68" s="3" t="inlineStr">
        <is>
          <t>NISHA GOYAL WIFE OF ANKUSH GOYAL</t>
        </is>
      </c>
      <c r="D68" s="3" t="inlineStr">
        <is>
          <t>Lathi dhanaura</t>
        </is>
      </c>
      <c r="E68" s="3" t="inlineStr">
        <is>
          <t>Hotel With Banquet facilities</t>
        </is>
      </c>
      <c r="F68" s="3" t="inlineStr">
        <is>
          <t>Hotel</t>
        </is>
      </c>
      <c r="G68" s="4" t="n">
        <v>8995.299999999999</v>
      </c>
      <c r="H68" s="5" t="n">
        <v>2.222785072871312</v>
      </c>
      <c r="I68" s="3" t="inlineStr">
        <is>
          <t>31/01/2025</t>
        </is>
      </c>
      <c r="J68" s="3" t="inlineStr">
        <is>
          <t>2025</t>
        </is>
      </c>
      <c r="K68" s="3">
        <f>IF($F68="Hotel",5,IF($F68="Motel",4,IF($F68="Resort",4,IF($F68="Amusement",4,IF($F68="Banquet",3,2)))))+IF($H68&gt;=4,2,IF($H68&gt;=2,1,0))+IF(VALUE($J68)&gt;=2024,2,IF(VALUE($J68)&gt;=2021,1,0))</f>
        <v/>
      </c>
      <c r="L68" s="3">
        <f>IF($K68&gt;=7,"High",IF($K68&gt;=5,"Medium","Low"))</f>
        <v/>
      </c>
      <c r="M68" s="6" t="inlineStr">
        <is>
          <t>Map View</t>
        </is>
      </c>
      <c r="N68" s="7" t="inlineStr">
        <is>
          <t>New</t>
        </is>
      </c>
      <c r="O68" s="7" t="inlineStr"/>
      <c r="P68" s="7" t="inlineStr"/>
      <c r="Q68" s="7" t="inlineStr"/>
      <c r="R68" s="7" t="inlineStr"/>
    </row>
    <row r="69">
      <c r="A69" s="3" t="inlineStr">
        <is>
          <t>Kurukshetra</t>
        </is>
      </c>
      <c r="B69" s="3" t="inlineStr">
        <is>
          <t>CLU/KA-818A</t>
        </is>
      </c>
      <c r="C69" s="3" t="inlineStr">
        <is>
          <t>pankaj and others</t>
        </is>
      </c>
      <c r="D69" s="3" t="inlineStr">
        <is>
          <t>Sanwala</t>
        </is>
      </c>
      <c r="E69" s="3" t="inlineStr">
        <is>
          <t>Motel without Banquet Facility</t>
        </is>
      </c>
      <c r="F69" s="3" t="inlineStr">
        <is>
          <t>Motel</t>
        </is>
      </c>
      <c r="G69" s="4" t="n">
        <v>4644.52</v>
      </c>
      <c r="H69" s="5" t="n">
        <v>1.14768487172771</v>
      </c>
      <c r="I69" s="3" t="inlineStr">
        <is>
          <t>08/08/2025</t>
        </is>
      </c>
      <c r="J69" s="3" t="inlineStr">
        <is>
          <t>2025</t>
        </is>
      </c>
      <c r="K69" s="3">
        <f>IF($F69="Hotel",5,IF($F69="Motel",4,IF($F69="Resort",4,IF($F69="Amusement",4,IF($F69="Banquet",3,2)))))+IF($H69&gt;=4,2,IF($H69&gt;=2,1,0))+IF(VALUE($J69)&gt;=2024,2,IF(VALUE($J69)&gt;=2021,1,0))</f>
        <v/>
      </c>
      <c r="L69" s="3">
        <f>IF($K69&gt;=7,"High",IF($K69&gt;=5,"Medium","Low"))</f>
        <v/>
      </c>
      <c r="M69" s="6" t="inlineStr">
        <is>
          <t>Map View</t>
        </is>
      </c>
      <c r="N69" s="7" t="inlineStr">
        <is>
          <t>New</t>
        </is>
      </c>
      <c r="O69" s="7" t="inlineStr"/>
      <c r="P69" s="7" t="inlineStr"/>
      <c r="Q69" s="7" t="inlineStr"/>
      <c r="R69" s="7" t="inlineStr"/>
    </row>
    <row r="70">
      <c r="A70" s="3" t="inlineStr">
        <is>
          <t>Kurukshetra</t>
        </is>
      </c>
      <c r="B70" s="3" t="inlineStr">
        <is>
          <t>CLU/KA-815A</t>
        </is>
      </c>
      <c r="C70" s="3" t="inlineStr">
        <is>
          <t>DALBIR SINGH AND SHAKUNTLA DEVI</t>
        </is>
      </c>
      <c r="D70" s="3" t="inlineStr">
        <is>
          <t>Ramgarh</t>
        </is>
      </c>
      <c r="E70" s="3" t="inlineStr">
        <is>
          <t>Hotel With Banquet facilities</t>
        </is>
      </c>
      <c r="F70" s="3" t="inlineStr">
        <is>
          <t>Hotel</t>
        </is>
      </c>
      <c r="G70" s="4" t="n">
        <v>1494.4</v>
      </c>
      <c r="H70" s="5" t="n">
        <v>0.3692739556100285</v>
      </c>
      <c r="I70" s="3" t="inlineStr">
        <is>
          <t>15/05/2025</t>
        </is>
      </c>
      <c r="J70" s="3" t="inlineStr">
        <is>
          <t>2025</t>
        </is>
      </c>
      <c r="K70" s="3">
        <f>IF($F70="Hotel",5,IF($F70="Motel",4,IF($F70="Resort",4,IF($F70="Amusement",4,IF($F70="Banquet",3,2)))))+IF($H70&gt;=4,2,IF($H70&gt;=2,1,0))+IF(VALUE($J70)&gt;=2024,2,IF(VALUE($J70)&gt;=2021,1,0))</f>
        <v/>
      </c>
      <c r="L70" s="3">
        <f>IF($K70&gt;=7,"High",IF($K70&gt;=5,"Medium","Low"))</f>
        <v/>
      </c>
      <c r="M70" s="6" t="inlineStr">
        <is>
          <t>Map View</t>
        </is>
      </c>
      <c r="N70" s="7" t="inlineStr">
        <is>
          <t>New</t>
        </is>
      </c>
      <c r="O70" s="7" t="inlineStr"/>
      <c r="P70" s="7" t="inlineStr"/>
      <c r="Q70" s="7" t="inlineStr"/>
      <c r="R70" s="7" t="inlineStr"/>
    </row>
    <row r="71">
      <c r="A71" s="3" t="inlineStr">
        <is>
          <t>Kurukshetra</t>
        </is>
      </c>
      <c r="B71" s="3" t="inlineStr">
        <is>
          <t>CLU/KA-805A</t>
        </is>
      </c>
      <c r="C71" s="3" t="inlineStr">
        <is>
          <t>DECENT INFRAHOMES</t>
        </is>
      </c>
      <c r="D71" s="3" t="inlineStr">
        <is>
          <t>Samani</t>
        </is>
      </c>
      <c r="E71" s="3" t="inlineStr">
        <is>
          <t>Banquet Hall</t>
        </is>
      </c>
      <c r="F71" s="3" t="inlineStr">
        <is>
          <t>Banquet</t>
        </is>
      </c>
      <c r="G71" s="4" t="n">
        <v>12766.61</v>
      </c>
      <c r="H71" s="5" t="n">
        <v>3.154695245202453</v>
      </c>
      <c r="I71" s="3" t="inlineStr">
        <is>
          <t>19/12/2024</t>
        </is>
      </c>
      <c r="J71" s="3" t="inlineStr">
        <is>
          <t>2024</t>
        </is>
      </c>
      <c r="K71" s="3">
        <f>IF($F71="Hotel",5,IF($F71="Motel",4,IF($F71="Resort",4,IF($F71="Amusement",4,IF($F71="Banquet",3,2)))))+IF($H71&gt;=4,2,IF($H71&gt;=2,1,0))+IF(VALUE($J71)&gt;=2024,2,IF(VALUE($J71)&gt;=2021,1,0))</f>
        <v/>
      </c>
      <c r="L71" s="3">
        <f>IF($K71&gt;=7,"High",IF($K71&gt;=5,"Medium","Low"))</f>
        <v/>
      </c>
      <c r="M71" s="6" t="inlineStr">
        <is>
          <t>Map View</t>
        </is>
      </c>
      <c r="N71" s="7" t="inlineStr">
        <is>
          <t>New</t>
        </is>
      </c>
      <c r="O71" s="7" t="inlineStr"/>
      <c r="P71" s="7" t="inlineStr"/>
      <c r="Q71" s="7" t="inlineStr"/>
      <c r="R71" s="7" t="inlineStr"/>
    </row>
    <row r="72">
      <c r="A72" s="3" t="inlineStr">
        <is>
          <t>Kurukshetra</t>
        </is>
      </c>
      <c r="B72" s="3" t="inlineStr">
        <is>
          <t>CLU/KA-803A</t>
        </is>
      </c>
      <c r="C72" s="3" t="inlineStr">
        <is>
          <t>JNK Hospitality</t>
        </is>
      </c>
      <c r="D72" s="3" t="inlineStr">
        <is>
          <t>Khanpur kolia</t>
        </is>
      </c>
      <c r="E72" s="3" t="inlineStr">
        <is>
          <t>Motel</t>
        </is>
      </c>
      <c r="F72" s="3" t="inlineStr">
        <is>
          <t>Motel</t>
        </is>
      </c>
      <c r="G72" s="4" t="n">
        <v>4191.3</v>
      </c>
      <c r="H72" s="5" t="n">
        <v>1.035691869745927</v>
      </c>
      <c r="I72" s="3" t="inlineStr">
        <is>
          <t>12/03/2024</t>
        </is>
      </c>
      <c r="J72" s="3" t="inlineStr">
        <is>
          <t>2024</t>
        </is>
      </c>
      <c r="K72" s="3">
        <f>IF($F72="Hotel",5,IF($F72="Motel",4,IF($F72="Resort",4,IF($F72="Amusement",4,IF($F72="Banquet",3,2)))))+IF($H72&gt;=4,2,IF($H72&gt;=2,1,0))+IF(VALUE($J72)&gt;=2024,2,IF(VALUE($J72)&gt;=2021,1,0))</f>
        <v/>
      </c>
      <c r="L72" s="3">
        <f>IF($K72&gt;=7,"High",IF($K72&gt;=5,"Medium","Low"))</f>
        <v/>
      </c>
      <c r="M72" s="6" t="inlineStr">
        <is>
          <t>Map View</t>
        </is>
      </c>
      <c r="N72" s="7" t="inlineStr">
        <is>
          <t>New</t>
        </is>
      </c>
      <c r="O72" s="7" t="inlineStr"/>
      <c r="P72" s="7" t="inlineStr"/>
      <c r="Q72" s="7" t="inlineStr"/>
      <c r="R72" s="7" t="inlineStr"/>
    </row>
    <row r="73">
      <c r="A73" s="3" t="inlineStr">
        <is>
          <t>Kurukshetra</t>
        </is>
      </c>
      <c r="B73" s="3" t="inlineStr">
        <is>
          <t>CLU/KA-796A</t>
        </is>
      </c>
      <c r="C73" s="3" t="inlineStr">
        <is>
          <t>DALBIR SINGH AND SHAKUNTLA DEVI</t>
        </is>
      </c>
      <c r="D73" s="3" t="inlineStr">
        <is>
          <t>Ramgarh</t>
        </is>
      </c>
      <c r="E73" s="3" t="inlineStr">
        <is>
          <t>Motel with Banquet facility</t>
        </is>
      </c>
      <c r="F73" s="3" t="inlineStr">
        <is>
          <t>Motel</t>
        </is>
      </c>
      <c r="G73" s="4" t="n">
        <v>3170.3</v>
      </c>
      <c r="H73" s="5" t="n">
        <v>0.7833974983073296</v>
      </c>
      <c r="I73" s="3" t="inlineStr">
        <is>
          <t>06/06/2024</t>
        </is>
      </c>
      <c r="J73" s="3" t="inlineStr">
        <is>
          <t>2024</t>
        </is>
      </c>
      <c r="K73" s="3">
        <f>IF($F73="Hotel",5,IF($F73="Motel",4,IF($F73="Resort",4,IF($F73="Amusement",4,IF($F73="Banquet",3,2)))))+IF($H73&gt;=4,2,IF($H73&gt;=2,1,0))+IF(VALUE($J73)&gt;=2024,2,IF(VALUE($J73)&gt;=2021,1,0))</f>
        <v/>
      </c>
      <c r="L73" s="3">
        <f>IF($K73&gt;=7,"High",IF($K73&gt;=5,"Medium","Low"))</f>
        <v/>
      </c>
      <c r="M73" s="6" t="inlineStr">
        <is>
          <t>Map View</t>
        </is>
      </c>
      <c r="N73" s="7" t="inlineStr">
        <is>
          <t>New</t>
        </is>
      </c>
      <c r="O73" s="7" t="inlineStr"/>
      <c r="P73" s="7" t="inlineStr"/>
      <c r="Q73" s="7" t="inlineStr"/>
      <c r="R73" s="7" t="inlineStr"/>
    </row>
    <row r="74">
      <c r="A74" s="3" t="inlineStr">
        <is>
          <t>Kurukshetra</t>
        </is>
      </c>
      <c r="B74" s="3" t="inlineStr">
        <is>
          <t>CLU/KA-749A</t>
        </is>
      </c>
      <c r="C74" s="3" t="inlineStr">
        <is>
          <t>VIPUL GUPTA AND PINKI GUPTA</t>
        </is>
      </c>
      <c r="D74" s="3" t="inlineStr">
        <is>
          <t>Khanpur kolia</t>
        </is>
      </c>
      <c r="E74" s="3" t="inlineStr">
        <is>
          <t>Amusement Park</t>
        </is>
      </c>
      <c r="F74" s="3" t="inlineStr">
        <is>
          <t>Amusement</t>
        </is>
      </c>
      <c r="G74" s="4" t="n">
        <v>11715.7</v>
      </c>
      <c r="H74" s="5" t="n">
        <v>2.89500995833807</v>
      </c>
      <c r="I74" s="3" t="inlineStr">
        <is>
          <t>19/01/2023</t>
        </is>
      </c>
      <c r="J74" s="3" t="inlineStr">
        <is>
          <t>2023</t>
        </is>
      </c>
      <c r="K74" s="3">
        <f>IF($F74="Hotel",5,IF($F74="Motel",4,IF($F74="Resort",4,IF($F74="Amusement",4,IF($F74="Banquet",3,2)))))+IF($H74&gt;=4,2,IF($H74&gt;=2,1,0))+IF(VALUE($J74)&gt;=2024,2,IF(VALUE($J74)&gt;=2021,1,0))</f>
        <v/>
      </c>
      <c r="L74" s="3">
        <f>IF($K74&gt;=7,"High",IF($K74&gt;=5,"Medium","Low"))</f>
        <v/>
      </c>
      <c r="M74" s="6" t="inlineStr">
        <is>
          <t>Map View</t>
        </is>
      </c>
      <c r="N74" s="7" t="inlineStr">
        <is>
          <t>New</t>
        </is>
      </c>
      <c r="O74" s="7" t="inlineStr"/>
      <c r="P74" s="7" t="inlineStr"/>
      <c r="Q74" s="7" t="inlineStr"/>
      <c r="R74" s="7" t="inlineStr"/>
    </row>
    <row r="75">
      <c r="A75" s="3" t="inlineStr">
        <is>
          <t>Kurukshetra</t>
        </is>
      </c>
      <c r="B75" s="3" t="inlineStr">
        <is>
          <t>CLU/KA-792A</t>
        </is>
      </c>
      <c r="C75" s="3" t="inlineStr">
        <is>
          <t>Sh. Yajvinder Lather &amp; Sh. Vikram Lather</t>
        </is>
      </c>
      <c r="D75" s="3" t="inlineStr">
        <is>
          <t>Mohri</t>
        </is>
      </c>
      <c r="E75" s="3" t="inlineStr">
        <is>
          <t>Hotel With Banquet facilities</t>
        </is>
      </c>
      <c r="F75" s="3" t="inlineStr">
        <is>
          <t>Hotel</t>
        </is>
      </c>
      <c r="G75" s="4" t="n">
        <v>5856.1</v>
      </c>
      <c r="H75" s="5" t="n">
        <v>1.447072545133758</v>
      </c>
      <c r="I75" s="3" t="inlineStr">
        <is>
          <t>18/12/2023</t>
        </is>
      </c>
      <c r="J75" s="3" t="inlineStr">
        <is>
          <t>2023</t>
        </is>
      </c>
      <c r="K75" s="3">
        <f>IF($F75="Hotel",5,IF($F75="Motel",4,IF($F75="Resort",4,IF($F75="Amusement",4,IF($F75="Banquet",3,2)))))+IF($H75&gt;=4,2,IF($H75&gt;=2,1,0))+IF(VALUE($J75)&gt;=2024,2,IF(VALUE($J75)&gt;=2021,1,0))</f>
        <v/>
      </c>
      <c r="L75" s="3">
        <f>IF($K75&gt;=7,"High",IF($K75&gt;=5,"Medium","Low"))</f>
        <v/>
      </c>
      <c r="M75" s="6" t="inlineStr">
        <is>
          <t>Map View</t>
        </is>
      </c>
      <c r="N75" s="7" t="inlineStr">
        <is>
          <t>New</t>
        </is>
      </c>
      <c r="O75" s="7" t="inlineStr"/>
      <c r="P75" s="7" t="inlineStr"/>
      <c r="Q75" s="7" t="inlineStr"/>
      <c r="R75" s="7" t="inlineStr"/>
    </row>
    <row r="76">
      <c r="A76" s="3" t="inlineStr">
        <is>
          <t>Kurukshetra</t>
        </is>
      </c>
      <c r="B76" s="3" t="inlineStr">
        <is>
          <t>CLU/KA-747A</t>
        </is>
      </c>
      <c r="C76" s="3" t="inlineStr">
        <is>
          <t>Veena Rani</t>
        </is>
      </c>
      <c r="D76" s="3" t="inlineStr">
        <is>
          <t>Khanpur kolia</t>
        </is>
      </c>
      <c r="E76" s="3" t="inlineStr">
        <is>
          <t>Motel cum Restaurant</t>
        </is>
      </c>
      <c r="F76" s="3" t="inlineStr">
        <is>
          <t>Motel</t>
        </is>
      </c>
      <c r="G76" s="4" t="n">
        <v>4722.6</v>
      </c>
      <c r="H76" s="5" t="n">
        <v>1.166978842855943</v>
      </c>
      <c r="I76" s="3" t="inlineStr">
        <is>
          <t>27/01/2023</t>
        </is>
      </c>
      <c r="J76" s="3" t="inlineStr">
        <is>
          <t>2023</t>
        </is>
      </c>
      <c r="K76" s="3">
        <f>IF($F76="Hotel",5,IF($F76="Motel",4,IF($F76="Resort",4,IF($F76="Amusement",4,IF($F76="Banquet",3,2)))))+IF($H76&gt;=4,2,IF($H76&gt;=2,1,0))+IF(VALUE($J76)&gt;=2024,2,IF(VALUE($J76)&gt;=2021,1,0))</f>
        <v/>
      </c>
      <c r="L76" s="3">
        <f>IF($K76&gt;=7,"High",IF($K76&gt;=5,"Medium","Low"))</f>
        <v/>
      </c>
      <c r="M76" s="6" t="inlineStr">
        <is>
          <t>Map View</t>
        </is>
      </c>
      <c r="N76" s="7" t="inlineStr">
        <is>
          <t>New</t>
        </is>
      </c>
      <c r="O76" s="7" t="inlineStr"/>
      <c r="P76" s="7" t="inlineStr"/>
      <c r="Q76" s="7" t="inlineStr"/>
      <c r="R76" s="7" t="inlineStr"/>
    </row>
    <row r="77">
      <c r="A77" s="3" t="inlineStr">
        <is>
          <t>Kurukshetra</t>
        </is>
      </c>
      <c r="B77" s="3" t="inlineStr">
        <is>
          <t>CLU/KA-765A</t>
        </is>
      </c>
      <c r="C77" s="3" t="inlineStr">
        <is>
          <t>SEEMA BAJAJ</t>
        </is>
      </c>
      <c r="D77" s="3" t="inlineStr">
        <is>
          <t>Umri</t>
        </is>
      </c>
      <c r="E77" s="3" t="inlineStr">
        <is>
          <t>Motel cum Restaurant</t>
        </is>
      </c>
      <c r="F77" s="3" t="inlineStr">
        <is>
          <t>Motel</t>
        </is>
      </c>
      <c r="G77" s="4" t="n">
        <v>4449.7</v>
      </c>
      <c r="H77" s="5" t="n">
        <v>1.099543843869074</v>
      </c>
      <c r="I77" s="3" t="inlineStr">
        <is>
          <t>06/07/2023</t>
        </is>
      </c>
      <c r="J77" s="3" t="inlineStr">
        <is>
          <t>2023</t>
        </is>
      </c>
      <c r="K77" s="3">
        <f>IF($F77="Hotel",5,IF($F77="Motel",4,IF($F77="Resort",4,IF($F77="Amusement",4,IF($F77="Banquet",3,2)))))+IF($H77&gt;=4,2,IF($H77&gt;=2,1,0))+IF(VALUE($J77)&gt;=2024,2,IF(VALUE($J77)&gt;=2021,1,0))</f>
        <v/>
      </c>
      <c r="L77" s="3">
        <f>IF($K77&gt;=7,"High",IF($K77&gt;=5,"Medium","Low"))</f>
        <v/>
      </c>
      <c r="M77" s="6" t="inlineStr">
        <is>
          <t>Map View</t>
        </is>
      </c>
      <c r="N77" s="7" t="inlineStr">
        <is>
          <t>New</t>
        </is>
      </c>
      <c r="O77" s="7" t="inlineStr"/>
      <c r="P77" s="7" t="inlineStr"/>
      <c r="Q77" s="7" t="inlineStr"/>
      <c r="R77" s="7" t="inlineStr"/>
    </row>
    <row r="78">
      <c r="A78" s="3" t="inlineStr">
        <is>
          <t>Kurukshetra</t>
        </is>
      </c>
      <c r="B78" s="3" t="inlineStr">
        <is>
          <t>CLU/KA-759A</t>
        </is>
      </c>
      <c r="C78" s="3" t="inlineStr">
        <is>
          <t>Raman Gupta, Dhiraj Kumar, Gur Partap</t>
        </is>
      </c>
      <c r="D78" s="3" t="inlineStr">
        <is>
          <t>Mohri</t>
        </is>
      </c>
      <c r="E78" s="3" t="inlineStr">
        <is>
          <t>Motel with Banquet facility</t>
        </is>
      </c>
      <c r="F78" s="3" t="inlineStr">
        <is>
          <t>Motel</t>
        </is>
      </c>
      <c r="G78" s="4" t="n">
        <v>3935.8</v>
      </c>
      <c r="H78" s="5" t="n">
        <v>0.9725565005955235</v>
      </c>
      <c r="I78" s="3" t="inlineStr">
        <is>
          <t>21/08/2023</t>
        </is>
      </c>
      <c r="J78" s="3" t="inlineStr">
        <is>
          <t>2023</t>
        </is>
      </c>
      <c r="K78" s="3">
        <f>IF($F78="Hotel",5,IF($F78="Motel",4,IF($F78="Resort",4,IF($F78="Amusement",4,IF($F78="Banquet",3,2)))))+IF($H78&gt;=4,2,IF($H78&gt;=2,1,0))+IF(VALUE($J78)&gt;=2024,2,IF(VALUE($J78)&gt;=2021,1,0))</f>
        <v/>
      </c>
      <c r="L78" s="3">
        <f>IF($K78&gt;=7,"High",IF($K78&gt;=5,"Medium","Low"))</f>
        <v/>
      </c>
      <c r="M78" s="6" t="inlineStr">
        <is>
          <t>Map View</t>
        </is>
      </c>
      <c r="N78" s="7" t="inlineStr">
        <is>
          <t>New</t>
        </is>
      </c>
      <c r="O78" s="7" t="inlineStr"/>
      <c r="P78" s="7" t="inlineStr"/>
      <c r="Q78" s="7" t="inlineStr"/>
      <c r="R78" s="7" t="inlineStr"/>
    </row>
    <row r="79">
      <c r="A79" s="3" t="inlineStr">
        <is>
          <t>Kurukshetra</t>
        </is>
      </c>
      <c r="B79" s="3" t="inlineStr">
        <is>
          <t>CLU/KA-672</t>
        </is>
      </c>
      <c r="C79" s="3" t="inlineStr">
        <is>
          <t>Deepak Goel S/o Siri Chand Goel</t>
        </is>
      </c>
      <c r="D79" s="3" t="inlineStr">
        <is>
          <t>Village Ban</t>
        </is>
      </c>
      <c r="E79" s="3" t="inlineStr">
        <is>
          <t>Motel without Banquet Hall</t>
        </is>
      </c>
      <c r="F79" s="3" t="inlineStr">
        <is>
          <t>Motel</t>
        </is>
      </c>
      <c r="G79" s="4" t="n"/>
      <c r="H79" s="5" t="n"/>
      <c r="I79" s="3" t="inlineStr">
        <is>
          <t>11/07/2020</t>
        </is>
      </c>
      <c r="J79" s="3" t="inlineStr">
        <is>
          <t>2020</t>
        </is>
      </c>
      <c r="K79" s="3">
        <f>IF($F79="Hotel",5,IF($F79="Motel",4,IF($F79="Resort",4,IF($F79="Amusement",4,IF($F79="Banquet",3,2)))))+IF($H79&gt;=4,2,IF($H79&gt;=2,1,0))+IF(VALUE($J79)&gt;=2024,2,IF(VALUE($J79)&gt;=2021,1,0))</f>
        <v/>
      </c>
      <c r="L79" s="3">
        <f>IF($K79&gt;=7,"High",IF($K79&gt;=5,"Medium","Low"))</f>
        <v/>
      </c>
      <c r="M79" s="6" t="inlineStr">
        <is>
          <t>Map View</t>
        </is>
      </c>
      <c r="N79" s="7" t="inlineStr">
        <is>
          <t>New</t>
        </is>
      </c>
      <c r="O79" s="7" t="inlineStr"/>
      <c r="P79" s="7" t="inlineStr"/>
      <c r="Q79" s="7" t="inlineStr"/>
      <c r="R79" s="7" t="inlineStr"/>
    </row>
    <row r="80">
      <c r="A80" s="3" t="inlineStr">
        <is>
          <t>Kurukshetra</t>
        </is>
      </c>
      <c r="B80" s="3" t="inlineStr">
        <is>
          <t>CLU/KA-645</t>
        </is>
      </c>
      <c r="C80" s="3" t="inlineStr">
        <is>
          <t>Sh. Sandeep Golan S/o Sh. Mehar Singh &amp; others</t>
        </is>
      </c>
      <c r="D80" s="3" t="inlineStr">
        <is>
          <t>Thanesar</t>
        </is>
      </c>
      <c r="E80" s="3" t="inlineStr">
        <is>
          <t>Banquet Hall</t>
        </is>
      </c>
      <c r="F80" s="3" t="inlineStr">
        <is>
          <t>Banquet</t>
        </is>
      </c>
      <c r="G80" s="4" t="n"/>
      <c r="H80" s="5" t="n"/>
      <c r="I80" s="3" t="inlineStr">
        <is>
          <t>06/03/2019</t>
        </is>
      </c>
      <c r="J80" s="3" t="inlineStr">
        <is>
          <t>2019</t>
        </is>
      </c>
      <c r="K80" s="3">
        <f>IF($F80="Hotel",5,IF($F80="Motel",4,IF($F80="Resort",4,IF($F80="Amusement",4,IF($F80="Banquet",3,2)))))+IF($H80&gt;=4,2,IF($H80&gt;=2,1,0))+IF(VALUE($J80)&gt;=2024,2,IF(VALUE($J80)&gt;=2021,1,0))</f>
        <v/>
      </c>
      <c r="L80" s="3">
        <f>IF($K80&gt;=7,"High",IF($K80&gt;=5,"Medium","Low"))</f>
        <v/>
      </c>
      <c r="M80" s="6" t="inlineStr">
        <is>
          <t>Map View</t>
        </is>
      </c>
      <c r="N80" s="7" t="inlineStr">
        <is>
          <t>New</t>
        </is>
      </c>
      <c r="O80" s="7" t="inlineStr"/>
      <c r="P80" s="7" t="inlineStr"/>
      <c r="Q80" s="7" t="inlineStr"/>
      <c r="R80" s="7" t="inlineStr"/>
    </row>
    <row r="81">
      <c r="A81" s="3" t="inlineStr">
        <is>
          <t>Kurukshetra</t>
        </is>
      </c>
      <c r="B81" s="3" t="inlineStr">
        <is>
          <t>CLU/KA-608</t>
        </is>
      </c>
      <c r="C81" s="3" t="inlineStr">
        <is>
          <t>S/Sh. Jeet Singh, Bhajan Singh Ss/o Sh. Ram Singh &amp; others</t>
        </is>
      </c>
      <c r="D81" s="3" t="inlineStr">
        <is>
          <t>Pehowa</t>
        </is>
      </c>
      <c r="E81" s="3" t="inlineStr">
        <is>
          <t>Farmhouse</t>
        </is>
      </c>
      <c r="F81" s="3" t="inlineStr">
        <is>
          <t>Farmhouse</t>
        </is>
      </c>
      <c r="G81" s="4" t="n"/>
      <c r="H81" s="5" t="n"/>
      <c r="I81" s="3" t="inlineStr">
        <is>
          <t>14/03/2018</t>
        </is>
      </c>
      <c r="J81" s="3" t="inlineStr">
        <is>
          <t>2018</t>
        </is>
      </c>
      <c r="K81" s="3">
        <f>IF($F81="Hotel",5,IF($F81="Motel",4,IF($F81="Resort",4,IF($F81="Amusement",4,IF($F81="Banquet",3,2)))))+IF($H81&gt;=4,2,IF($H81&gt;=2,1,0))+IF(VALUE($J81)&gt;=2024,2,IF(VALUE($J81)&gt;=2021,1,0))</f>
        <v/>
      </c>
      <c r="L81" s="3">
        <f>IF($K81&gt;=7,"High",IF($K81&gt;=5,"Medium","Low"))</f>
        <v/>
      </c>
      <c r="M81" s="6" t="inlineStr">
        <is>
          <t>Map View</t>
        </is>
      </c>
      <c r="N81" s="7" t="inlineStr">
        <is>
          <t>New</t>
        </is>
      </c>
      <c r="O81" s="7" t="inlineStr"/>
      <c r="P81" s="7" t="inlineStr"/>
      <c r="Q81" s="7" t="inlineStr"/>
      <c r="R81" s="7" t="inlineStr"/>
    </row>
    <row r="82">
      <c r="A82" s="3" t="inlineStr">
        <is>
          <t>Kurukshetra</t>
        </is>
      </c>
      <c r="B82" s="3" t="inlineStr">
        <is>
          <t>CLU/KA-619</t>
        </is>
      </c>
      <c r="C82" s="3" t="inlineStr">
        <is>
          <t>Smt. Angrezo Devi W/o Sh. Ranjeet Singh, Smt. Dhanpati W/o Raj Singh Through Sh. Ranjit Singh</t>
        </is>
      </c>
      <c r="D82" s="3" t="inlineStr">
        <is>
          <t>Kurukshetra</t>
        </is>
      </c>
      <c r="E82" s="3" t="inlineStr">
        <is>
          <t>Farmhouse</t>
        </is>
      </c>
      <c r="F82" s="3" t="inlineStr">
        <is>
          <t>Farmhouse</t>
        </is>
      </c>
      <c r="G82" s="4" t="n"/>
      <c r="H82" s="5" t="n"/>
      <c r="I82" s="3" t="inlineStr">
        <is>
          <t>09/02/2018</t>
        </is>
      </c>
      <c r="J82" s="3" t="inlineStr">
        <is>
          <t>2018</t>
        </is>
      </c>
      <c r="K82" s="3">
        <f>IF($F82="Hotel",5,IF($F82="Motel",4,IF($F82="Resort",4,IF($F82="Amusement",4,IF($F82="Banquet",3,2)))))+IF($H82&gt;=4,2,IF($H82&gt;=2,1,0))+IF(VALUE($J82)&gt;=2024,2,IF(VALUE($J82)&gt;=2021,1,0))</f>
        <v/>
      </c>
      <c r="L82" s="3">
        <f>IF($K82&gt;=7,"High",IF($K82&gt;=5,"Medium","Low"))</f>
        <v/>
      </c>
      <c r="M82" s="6" t="inlineStr">
        <is>
          <t>Map View</t>
        </is>
      </c>
      <c r="N82" s="7" t="inlineStr">
        <is>
          <t>New</t>
        </is>
      </c>
      <c r="O82" s="7" t="inlineStr"/>
      <c r="P82" s="7" t="inlineStr"/>
      <c r="Q82" s="7" t="inlineStr"/>
      <c r="R82" s="7" t="inlineStr"/>
    </row>
    <row r="83">
      <c r="A83" s="3" t="inlineStr">
        <is>
          <t>Panipat</t>
        </is>
      </c>
      <c r="B83" s="3" t="inlineStr">
        <is>
          <t>CLU/PT-1390A</t>
        </is>
      </c>
      <c r="C83" s="3" t="inlineStr">
        <is>
          <t>SR 39 Engineers Pvt. Ltd.</t>
        </is>
      </c>
      <c r="D83" s="3" t="inlineStr">
        <is>
          <t>Karhansh</t>
        </is>
      </c>
      <c r="E83" s="3" t="inlineStr">
        <is>
          <t>Motel without Banquet Facility</t>
        </is>
      </c>
      <c r="F83" s="3" t="inlineStr">
        <is>
          <t>Motel</t>
        </is>
      </c>
      <c r="G83" s="4" t="n">
        <v>6045.2</v>
      </c>
      <c r="H83" s="5" t="n">
        <v>1.493800131459947</v>
      </c>
      <c r="I83" s="3" t="inlineStr">
        <is>
          <t>16/01/2026</t>
        </is>
      </c>
      <c r="J83" s="3" t="inlineStr">
        <is>
          <t>2026</t>
        </is>
      </c>
      <c r="K83" s="3">
        <f>IF($F83="Hotel",5,IF($F83="Motel",4,IF($F83="Resort",4,IF($F83="Amusement",4,IF($F83="Banquet",3,2)))))+IF($H83&gt;=4,2,IF($H83&gt;=2,1,0))+IF(VALUE($J83)&gt;=2024,2,IF(VALUE($J83)&gt;=2021,1,0))</f>
        <v/>
      </c>
      <c r="L83" s="3">
        <f>IF($K83&gt;=7,"High",IF($K83&gt;=5,"Medium","Low"))</f>
        <v/>
      </c>
      <c r="M83" s="6" t="inlineStr">
        <is>
          <t>Map View</t>
        </is>
      </c>
      <c r="N83" s="7" t="inlineStr">
        <is>
          <t>New</t>
        </is>
      </c>
      <c r="O83" s="7" t="inlineStr"/>
      <c r="P83" s="7" t="inlineStr"/>
      <c r="Q83" s="7" t="inlineStr"/>
      <c r="R83" s="7" t="inlineStr"/>
    </row>
    <row r="84">
      <c r="A84" s="3" t="inlineStr">
        <is>
          <t>Panipat</t>
        </is>
      </c>
      <c r="B84" s="3" t="inlineStr">
        <is>
          <t>CLU/PT-1821A</t>
        </is>
      </c>
      <c r="C84" s="3" t="inlineStr">
        <is>
          <t>ANIL KUMAR and ANITA RANI</t>
        </is>
      </c>
      <c r="D84" s="3" t="inlineStr">
        <is>
          <t>Ganjbar</t>
        </is>
      </c>
      <c r="E84" s="3" t="inlineStr">
        <is>
          <t>Hotel With Banquet facilities</t>
        </is>
      </c>
      <c r="F84" s="3" t="inlineStr">
        <is>
          <t>Hotel</t>
        </is>
      </c>
      <c r="G84" s="4" t="n">
        <v>5370.2</v>
      </c>
      <c r="H84" s="5" t="n">
        <v>1.327004146424635</v>
      </c>
      <c r="I84" s="3" t="inlineStr">
        <is>
          <t>12/01/2026</t>
        </is>
      </c>
      <c r="J84" s="3" t="inlineStr">
        <is>
          <t>2026</t>
        </is>
      </c>
      <c r="K84" s="3">
        <f>IF($F84="Hotel",5,IF($F84="Motel",4,IF($F84="Resort",4,IF($F84="Amusement",4,IF($F84="Banquet",3,2)))))+IF($H84&gt;=4,2,IF($H84&gt;=2,1,0))+IF(VALUE($J84)&gt;=2024,2,IF(VALUE($J84)&gt;=2021,1,0))</f>
        <v/>
      </c>
      <c r="L84" s="3">
        <f>IF($K84&gt;=7,"High",IF($K84&gt;=5,"Medium","Low"))</f>
        <v/>
      </c>
      <c r="M84" s="6" t="inlineStr">
        <is>
          <t>Map View</t>
        </is>
      </c>
      <c r="N84" s="7" t="inlineStr">
        <is>
          <t>New</t>
        </is>
      </c>
      <c r="O84" s="7" t="inlineStr"/>
      <c r="P84" s="7" t="inlineStr"/>
      <c r="Q84" s="7" t="inlineStr"/>
      <c r="R84" s="7" t="inlineStr"/>
    </row>
    <row r="85">
      <c r="A85" s="3" t="inlineStr">
        <is>
          <t>Panipat</t>
        </is>
      </c>
      <c r="B85" s="3" t="inlineStr">
        <is>
          <t>CLU/PT-1783A</t>
        </is>
      </c>
      <c r="C85" s="3" t="inlineStr">
        <is>
          <t>GUNJAN MEHNDIRATTA &amp; SIDDHARTH JETHI</t>
        </is>
      </c>
      <c r="D85" s="3" t="inlineStr">
        <is>
          <t>Ganjbar</t>
        </is>
      </c>
      <c r="E85" s="3" t="inlineStr">
        <is>
          <t>Hotel With Banquet facilities</t>
        </is>
      </c>
      <c r="F85" s="3" t="inlineStr">
        <is>
          <t>Hotel</t>
        </is>
      </c>
      <c r="G85" s="4" t="n">
        <v>3245.1</v>
      </c>
      <c r="H85" s="5" t="n">
        <v>0.8018809645008722</v>
      </c>
      <c r="I85" s="3" t="inlineStr">
        <is>
          <t>08/04/2026</t>
        </is>
      </c>
      <c r="J85" s="3" t="inlineStr">
        <is>
          <t>2026</t>
        </is>
      </c>
      <c r="K85" s="3">
        <f>IF($F85="Hotel",5,IF($F85="Motel",4,IF($F85="Resort",4,IF($F85="Amusement",4,IF($F85="Banquet",3,2)))))+IF($H85&gt;=4,2,IF($H85&gt;=2,1,0))+IF(VALUE($J85)&gt;=2024,2,IF(VALUE($J85)&gt;=2021,1,0))</f>
        <v/>
      </c>
      <c r="L85" s="3">
        <f>IF($K85&gt;=7,"High",IF($K85&gt;=5,"Medium","Low"))</f>
        <v/>
      </c>
      <c r="M85" s="6" t="inlineStr">
        <is>
          <t>Map View</t>
        </is>
      </c>
      <c r="N85" s="7" t="inlineStr">
        <is>
          <t>New</t>
        </is>
      </c>
      <c r="O85" s="7" t="inlineStr"/>
      <c r="P85" s="7" t="inlineStr"/>
      <c r="Q85" s="7" t="inlineStr"/>
      <c r="R85" s="7" t="inlineStr">
        <is>
          <t>Ganjbar = NH-44 frontage 9 km S of Panipat — 3 hotel CLUs 2025-26 forming a new highway strip; all pre-construction. ID via DTCP file.</t>
        </is>
      </c>
    </row>
    <row r="86">
      <c r="A86" s="3" t="inlineStr">
        <is>
          <t>Panipat</t>
        </is>
      </c>
      <c r="B86" s="3" t="inlineStr">
        <is>
          <t>CLU/PT-1692A</t>
        </is>
      </c>
      <c r="C86" s="3" t="inlineStr">
        <is>
          <t>JAVI HOME PRIVATE LIMITED,</t>
        </is>
      </c>
      <c r="D86" s="3" t="inlineStr">
        <is>
          <t>Jhattipur</t>
        </is>
      </c>
      <c r="E86" s="3" t="inlineStr">
        <is>
          <t>Hotel With Banquet facilities</t>
        </is>
      </c>
      <c r="F86" s="3" t="inlineStr">
        <is>
          <t>Hotel</t>
        </is>
      </c>
      <c r="G86" s="4" t="n">
        <v>10133.9</v>
      </c>
      <c r="H86" s="5" t="n">
        <v>2.504139011480506</v>
      </c>
      <c r="I86" s="3" t="inlineStr">
        <is>
          <t>30/04/2025</t>
        </is>
      </c>
      <c r="J86" s="3" t="inlineStr">
        <is>
          <t>2025</t>
        </is>
      </c>
      <c r="K86" s="3">
        <f>IF($F86="Hotel",5,IF($F86="Motel",4,IF($F86="Resort",4,IF($F86="Amusement",4,IF($F86="Banquet",3,2)))))+IF($H86&gt;=4,2,IF($H86&gt;=2,1,0))+IF(VALUE($J86)&gt;=2024,2,IF(VALUE($J86)&gt;=2021,1,0))</f>
        <v/>
      </c>
      <c r="L86" s="3">
        <f>IF($K86&gt;=7,"High",IF($K86&gt;=5,"Medium","Low"))</f>
        <v/>
      </c>
      <c r="M86" s="6" t="inlineStr">
        <is>
          <t>Map View</t>
        </is>
      </c>
      <c r="N86" s="7" t="inlineStr">
        <is>
          <t>Contact found</t>
        </is>
      </c>
      <c r="O86" s="7" t="inlineStr">
        <is>
          <t>Vibhor Jain — MD, Javi Home P.L. (Panipat home-textiles exporter, CIN U17120DL2010PTC210592; Neeti/Naman Jain co-directors)</t>
        </is>
      </c>
      <c r="P86" s="7" t="inlineStr">
        <is>
          <t>hello@javihome.com; WhatsApp +91 98965 44053</t>
        </is>
      </c>
      <c r="Q86" s="7" t="inlineStr"/>
      <c r="R86" s="7" t="inlineStr">
        <is>
          <t>Textile-export family diversifying into hospitality; exports to 71+ countries. Src: javihome.com + TheCompanyCheck</t>
        </is>
      </c>
    </row>
    <row r="87">
      <c r="A87" s="3" t="inlineStr">
        <is>
          <t>Panipat</t>
        </is>
      </c>
      <c r="B87" s="3" t="inlineStr">
        <is>
          <t>CLU/PT-1774A</t>
        </is>
      </c>
      <c r="C87" s="3" t="inlineStr">
        <is>
          <t>SMT MANJU GUPTA &amp; RUCHI GUPTA</t>
        </is>
      </c>
      <c r="D87" s="3" t="inlineStr">
        <is>
          <t>Kabri</t>
        </is>
      </c>
      <c r="E87" s="3" t="inlineStr">
        <is>
          <t>Farm house</t>
        </is>
      </c>
      <c r="F87" s="3" t="inlineStr">
        <is>
          <t>Farmhouse</t>
        </is>
      </c>
      <c r="G87" s="4" t="n">
        <v>9682.27</v>
      </c>
      <c r="H87" s="5" t="n">
        <v>2.392538906707917</v>
      </c>
      <c r="I87" s="3" t="inlineStr">
        <is>
          <t>19/09/2025</t>
        </is>
      </c>
      <c r="J87" s="3" t="inlineStr">
        <is>
          <t>2025</t>
        </is>
      </c>
      <c r="K87" s="3">
        <f>IF($F87="Hotel",5,IF($F87="Motel",4,IF($F87="Resort",4,IF($F87="Amusement",4,IF($F87="Banquet",3,2)))))+IF($H87&gt;=4,2,IF($H87&gt;=2,1,0))+IF(VALUE($J87)&gt;=2024,2,IF(VALUE($J87)&gt;=2021,1,0))</f>
        <v/>
      </c>
      <c r="L87" s="3">
        <f>IF($K87&gt;=7,"High",IF($K87&gt;=5,"Medium","Low"))</f>
        <v/>
      </c>
      <c r="M87" s="6" t="inlineStr">
        <is>
          <t>Map View</t>
        </is>
      </c>
      <c r="N87" s="7" t="inlineStr">
        <is>
          <t>New</t>
        </is>
      </c>
      <c r="O87" s="7" t="inlineStr"/>
      <c r="P87" s="7" t="inlineStr"/>
      <c r="Q87" s="7" t="inlineStr"/>
      <c r="R87" s="7" t="inlineStr"/>
    </row>
    <row r="88">
      <c r="A88" s="3" t="inlineStr">
        <is>
          <t>Panipat</t>
        </is>
      </c>
      <c r="B88" s="3" t="inlineStr">
        <is>
          <t>CLU/PT-1681A</t>
        </is>
      </c>
      <c r="C88" s="3" t="inlineStr">
        <is>
          <t>BHUPENDER SINGH</t>
        </is>
      </c>
      <c r="D88" s="3" t="inlineStr">
        <is>
          <t>Bhalsi</t>
        </is>
      </c>
      <c r="E88" s="3" t="inlineStr">
        <is>
          <t>Motel with Banquet facility</t>
        </is>
      </c>
      <c r="F88" s="3" t="inlineStr">
        <is>
          <t>Motel</t>
        </is>
      </c>
      <c r="G88" s="4" t="n">
        <v>8559.1</v>
      </c>
      <c r="H88" s="5" t="n">
        <v>2.114997800764049</v>
      </c>
      <c r="I88" s="3" t="inlineStr">
        <is>
          <t>20/01/2025</t>
        </is>
      </c>
      <c r="J88" s="3" t="inlineStr">
        <is>
          <t>2025</t>
        </is>
      </c>
      <c r="K88" s="3">
        <f>IF($F88="Hotel",5,IF($F88="Motel",4,IF($F88="Resort",4,IF($F88="Amusement",4,IF($F88="Banquet",3,2)))))+IF($H88&gt;=4,2,IF($H88&gt;=2,1,0))+IF(VALUE($J88)&gt;=2024,2,IF(VALUE($J88)&gt;=2021,1,0))</f>
        <v/>
      </c>
      <c r="L88" s="3">
        <f>IF($K88&gt;=7,"High",IF($K88&gt;=5,"Medium","Low"))</f>
        <v/>
      </c>
      <c r="M88" s="6" t="inlineStr">
        <is>
          <t>Map View</t>
        </is>
      </c>
      <c r="N88" s="7" t="inlineStr">
        <is>
          <t>New</t>
        </is>
      </c>
      <c r="O88" s="7" t="inlineStr"/>
      <c r="P88" s="7" t="inlineStr"/>
      <c r="Q88" s="7" t="inlineStr"/>
      <c r="R88" s="7" t="inlineStr"/>
    </row>
    <row r="89">
      <c r="A89" s="3" t="inlineStr">
        <is>
          <t>Panipat</t>
        </is>
      </c>
      <c r="B89" s="3" t="inlineStr">
        <is>
          <t>CLU/PT-1617A</t>
        </is>
      </c>
      <c r="C89" s="3" t="inlineStr">
        <is>
          <t>PUSHP LATA GUPTA</t>
        </is>
      </c>
      <c r="D89" s="3" t="inlineStr">
        <is>
          <t>Chulkana</t>
        </is>
      </c>
      <c r="E89" s="3" t="inlineStr">
        <is>
          <t>Farm house</t>
        </is>
      </c>
      <c r="F89" s="3" t="inlineStr">
        <is>
          <t>Farmhouse</t>
        </is>
      </c>
      <c r="G89" s="4" t="n">
        <v>6171.4</v>
      </c>
      <c r="H89" s="5" t="n">
        <v>1.524984803032474</v>
      </c>
      <c r="I89" s="3" t="inlineStr">
        <is>
          <t>15/04/2025</t>
        </is>
      </c>
      <c r="J89" s="3" t="inlineStr">
        <is>
          <t>2025</t>
        </is>
      </c>
      <c r="K89" s="3">
        <f>IF($F89="Hotel",5,IF($F89="Motel",4,IF($F89="Resort",4,IF($F89="Amusement",4,IF($F89="Banquet",3,2)))))+IF($H89&gt;=4,2,IF($H89&gt;=2,1,0))+IF(VALUE($J89)&gt;=2024,2,IF(VALUE($J89)&gt;=2021,1,0))</f>
        <v/>
      </c>
      <c r="L89" s="3">
        <f>IF($K89&gt;=7,"High",IF($K89&gt;=5,"Medium","Low"))</f>
        <v/>
      </c>
      <c r="M89" s="6" t="inlineStr">
        <is>
          <t>Map View</t>
        </is>
      </c>
      <c r="N89" s="7" t="inlineStr">
        <is>
          <t>New</t>
        </is>
      </c>
      <c r="O89" s="7" t="inlineStr"/>
      <c r="P89" s="7" t="inlineStr"/>
      <c r="Q89" s="7" t="inlineStr"/>
      <c r="R89" s="7" t="inlineStr"/>
    </row>
    <row r="90">
      <c r="A90" s="3" t="inlineStr">
        <is>
          <t>Panipat</t>
        </is>
      </c>
      <c r="B90" s="3" t="inlineStr">
        <is>
          <t>CLU/PT-1793A</t>
        </is>
      </c>
      <c r="C90" s="3" t="inlineStr">
        <is>
          <t>RAJ KUMAR</t>
        </is>
      </c>
      <c r="D90" s="3" t="inlineStr">
        <is>
          <t>Kiwana</t>
        </is>
      </c>
      <c r="E90" s="3" t="inlineStr">
        <is>
          <t>Farm house</t>
        </is>
      </c>
      <c r="F90" s="3" t="inlineStr">
        <is>
          <t>Farmhouse</t>
        </is>
      </c>
      <c r="G90" s="4" t="n">
        <v>4072.1</v>
      </c>
      <c r="H90" s="5" t="n">
        <v>1.006236934314505</v>
      </c>
      <c r="I90" s="3" t="inlineStr">
        <is>
          <t>15/10/2025</t>
        </is>
      </c>
      <c r="J90" s="3" t="inlineStr">
        <is>
          <t>2025</t>
        </is>
      </c>
      <c r="K90" s="3">
        <f>IF($F90="Hotel",5,IF($F90="Motel",4,IF($F90="Resort",4,IF($F90="Amusement",4,IF($F90="Banquet",3,2)))))+IF($H90&gt;=4,2,IF($H90&gt;=2,1,0))+IF(VALUE($J90)&gt;=2024,2,IF(VALUE($J90)&gt;=2021,1,0))</f>
        <v/>
      </c>
      <c r="L90" s="3">
        <f>IF($K90&gt;=7,"High",IF($K90&gt;=5,"Medium","Low"))</f>
        <v/>
      </c>
      <c r="M90" s="6" t="inlineStr">
        <is>
          <t>Map View</t>
        </is>
      </c>
      <c r="N90" s="7" t="inlineStr">
        <is>
          <t>New</t>
        </is>
      </c>
      <c r="O90" s="7" t="inlineStr"/>
      <c r="P90" s="7" t="inlineStr"/>
      <c r="Q90" s="7" t="inlineStr"/>
      <c r="R90" s="7" t="inlineStr"/>
    </row>
    <row r="91">
      <c r="A91" s="3" t="inlineStr">
        <is>
          <t>Panipat</t>
        </is>
      </c>
      <c r="B91" s="3" t="inlineStr">
        <is>
          <t>CLU/PT-1734A</t>
        </is>
      </c>
      <c r="C91" s="3" t="inlineStr">
        <is>
          <t>OMPRAKSH AND NEELAM SACHDEVA</t>
        </is>
      </c>
      <c r="D91" s="3" t="inlineStr">
        <is>
          <t>Jhattipur</t>
        </is>
      </c>
      <c r="E91" s="3" t="inlineStr">
        <is>
          <t>Motel cum Restaurant</t>
        </is>
      </c>
      <c r="F91" s="3" t="inlineStr">
        <is>
          <t>Motel</t>
        </is>
      </c>
      <c r="G91" s="4" t="n">
        <v>4006.3</v>
      </c>
      <c r="H91" s="5" t="n">
        <v>0.9899774145881004</v>
      </c>
      <c r="I91" s="3" t="inlineStr">
        <is>
          <t>14/08/2025</t>
        </is>
      </c>
      <c r="J91" s="3" t="inlineStr">
        <is>
          <t>2025</t>
        </is>
      </c>
      <c r="K91" s="3">
        <f>IF($F91="Hotel",5,IF($F91="Motel",4,IF($F91="Resort",4,IF($F91="Amusement",4,IF($F91="Banquet",3,2)))))+IF($H91&gt;=4,2,IF($H91&gt;=2,1,0))+IF(VALUE($J91)&gt;=2024,2,IF(VALUE($J91)&gt;=2021,1,0))</f>
        <v/>
      </c>
      <c r="L91" s="3">
        <f>IF($K91&gt;=7,"High",IF($K91&gt;=5,"Medium","Low"))</f>
        <v/>
      </c>
      <c r="M91" s="6" t="inlineStr">
        <is>
          <t>Map View</t>
        </is>
      </c>
      <c r="N91" s="7" t="inlineStr">
        <is>
          <t>New</t>
        </is>
      </c>
      <c r="O91" s="7" t="inlineStr"/>
      <c r="P91" s="7" t="inlineStr"/>
      <c r="Q91" s="7" t="inlineStr"/>
      <c r="R91" s="7" t="inlineStr"/>
    </row>
    <row r="92">
      <c r="A92" s="3" t="inlineStr">
        <is>
          <t>Panipat</t>
        </is>
      </c>
      <c r="B92" s="3" t="inlineStr">
        <is>
          <t>CLU/PT-1780A</t>
        </is>
      </c>
      <c r="C92" s="3" t="inlineStr">
        <is>
          <t>Baljit Singh</t>
        </is>
      </c>
      <c r="D92" s="3" t="inlineStr">
        <is>
          <t>Ganjbar</t>
        </is>
      </c>
      <c r="E92" s="3" t="inlineStr">
        <is>
          <t>Hotel With Banquet facilities</t>
        </is>
      </c>
      <c r="F92" s="3" t="inlineStr">
        <is>
          <t>Hotel</t>
        </is>
      </c>
      <c r="G92" s="4" t="n">
        <v>3192</v>
      </c>
      <c r="H92" s="5" t="n">
        <v>0.7887596803447611</v>
      </c>
      <c r="I92" s="3" t="inlineStr">
        <is>
          <t>10/05/2025</t>
        </is>
      </c>
      <c r="J92" s="3" t="inlineStr">
        <is>
          <t>2025</t>
        </is>
      </c>
      <c r="K92" s="3">
        <f>IF($F92="Hotel",5,IF($F92="Motel",4,IF($F92="Resort",4,IF($F92="Amusement",4,IF($F92="Banquet",3,2)))))+IF($H92&gt;=4,2,IF($H92&gt;=2,1,0))+IF(VALUE($J92)&gt;=2024,2,IF(VALUE($J92)&gt;=2021,1,0))</f>
        <v/>
      </c>
      <c r="L92" s="3">
        <f>IF($K92&gt;=7,"High",IF($K92&gt;=5,"Medium","Low"))</f>
        <v/>
      </c>
      <c r="M92" s="6" t="inlineStr">
        <is>
          <t>Map View</t>
        </is>
      </c>
      <c r="N92" s="7" t="inlineStr">
        <is>
          <t>New</t>
        </is>
      </c>
      <c r="O92" s="7" t="inlineStr"/>
      <c r="P92" s="7" t="inlineStr"/>
      <c r="Q92" s="7" t="inlineStr"/>
      <c r="R92" s="7" t="inlineStr"/>
    </row>
    <row r="93">
      <c r="A93" s="3" t="inlineStr">
        <is>
          <t>Panipat</t>
        </is>
      </c>
      <c r="B93" s="3" t="inlineStr">
        <is>
          <t>CLU/PT-1615A</t>
        </is>
      </c>
      <c r="C93" s="3" t="inlineStr">
        <is>
          <t>Sh Dhiraj Son of Sh Jagpal</t>
        </is>
      </c>
      <c r="D93" s="3" t="inlineStr">
        <is>
          <t>Patti kalyana</t>
        </is>
      </c>
      <c r="E93" s="3" t="inlineStr">
        <is>
          <t>Farm house</t>
        </is>
      </c>
      <c r="F93" s="3" t="inlineStr">
        <is>
          <t>Farmhouse</t>
        </is>
      </c>
      <c r="G93" s="4" t="n">
        <v>8102.8</v>
      </c>
      <c r="H93" s="5" t="n">
        <v>2.002243714880179</v>
      </c>
      <c r="I93" s="3" t="inlineStr">
        <is>
          <t>27/02/2024</t>
        </is>
      </c>
      <c r="J93" s="3" t="inlineStr">
        <is>
          <t>2024</t>
        </is>
      </c>
      <c r="K93" s="3">
        <f>IF($F93="Hotel",5,IF($F93="Motel",4,IF($F93="Resort",4,IF($F93="Amusement",4,IF($F93="Banquet",3,2)))))+IF($H93&gt;=4,2,IF($H93&gt;=2,1,0))+IF(VALUE($J93)&gt;=2024,2,IF(VALUE($J93)&gt;=2021,1,0))</f>
        <v/>
      </c>
      <c r="L93" s="3">
        <f>IF($K93&gt;=7,"High",IF($K93&gt;=5,"Medium","Low"))</f>
        <v/>
      </c>
      <c r="M93" s="6" t="inlineStr">
        <is>
          <t>Map View</t>
        </is>
      </c>
      <c r="N93" s="7" t="inlineStr">
        <is>
          <t>New</t>
        </is>
      </c>
      <c r="O93" s="7" t="inlineStr"/>
      <c r="P93" s="7" t="inlineStr"/>
      <c r="Q93" s="7" t="inlineStr"/>
      <c r="R93" s="7" t="inlineStr"/>
    </row>
    <row r="94">
      <c r="A94" s="3" t="inlineStr">
        <is>
          <t>Panipat</t>
        </is>
      </c>
      <c r="B94" s="3" t="inlineStr">
        <is>
          <t>CLU/PT-1729A</t>
        </is>
      </c>
      <c r="C94" s="3" t="inlineStr">
        <is>
          <t>SATBIR SINGH</t>
        </is>
      </c>
      <c r="D94" s="3" t="inlineStr">
        <is>
          <t>Patti kalyana</t>
        </is>
      </c>
      <c r="E94" s="3" t="inlineStr">
        <is>
          <t>Hotel With Banquet facilities</t>
        </is>
      </c>
      <c r="F94" s="3" t="inlineStr">
        <is>
          <t>Hotel</t>
        </is>
      </c>
      <c r="G94" s="4" t="n">
        <v>7537.2</v>
      </c>
      <c r="H94" s="5" t="n">
        <v>1.862481034678738</v>
      </c>
      <c r="I94" s="3" t="inlineStr">
        <is>
          <t>19/12/2024</t>
        </is>
      </c>
      <c r="J94" s="3" t="inlineStr">
        <is>
          <t>2024</t>
        </is>
      </c>
      <c r="K94" s="3">
        <f>IF($F94="Hotel",5,IF($F94="Motel",4,IF($F94="Resort",4,IF($F94="Amusement",4,IF($F94="Banquet",3,2)))))+IF($H94&gt;=4,2,IF($H94&gt;=2,1,0))+IF(VALUE($J94)&gt;=2024,2,IF(VALUE($J94)&gt;=2021,1,0))</f>
        <v/>
      </c>
      <c r="L94" s="3">
        <f>IF($K94&gt;=7,"High",IF($K94&gt;=5,"Medium","Low"))</f>
        <v/>
      </c>
      <c r="M94" s="6" t="inlineStr">
        <is>
          <t>Map View</t>
        </is>
      </c>
      <c r="N94" s="7" t="inlineStr">
        <is>
          <t>Lead - verify</t>
        </is>
      </c>
      <c r="O94" s="7" t="inlineStr">
        <is>
          <t>UNVERIFIED: possibly 'The Lagoon' hotel, Patti Kalyana NH-44 (opened recently, same village)</t>
        </is>
      </c>
      <c r="P94" s="7" t="inlineStr">
        <is>
          <t>+91 80595 55500 (The Lagoon front desk)</t>
        </is>
      </c>
      <c r="Q94" s="7" t="inlineStr"/>
      <c r="R94" s="7" t="inlineStr">
        <is>
          <t>New upscale hotel on exact village matches CLU timing; owner name not published. Verify by phone. Src: Tripadvisor/Booking</t>
        </is>
      </c>
    </row>
    <row r="95">
      <c r="A95" s="3" t="inlineStr">
        <is>
          <t>Panipat</t>
        </is>
      </c>
      <c r="B95" s="3" t="inlineStr">
        <is>
          <t>CLU/PT-1625A</t>
        </is>
      </c>
      <c r="C95" s="3" t="inlineStr">
        <is>
          <t>Dinesh Jain</t>
        </is>
      </c>
      <c r="D95" s="3" t="inlineStr">
        <is>
          <t>Sewah</t>
        </is>
      </c>
      <c r="E95" s="3" t="inlineStr">
        <is>
          <t>Three Star Hotel</t>
        </is>
      </c>
      <c r="F95" s="3" t="inlineStr">
        <is>
          <t>Hotel</t>
        </is>
      </c>
      <c r="G95" s="4" t="n">
        <v>2776.4</v>
      </c>
      <c r="H95" s="5" t="n">
        <v>0.6860627745956124</v>
      </c>
      <c r="I95" s="3" t="inlineStr">
        <is>
          <t>20/02/2024</t>
        </is>
      </c>
      <c r="J95" s="3" t="inlineStr">
        <is>
          <t>2024</t>
        </is>
      </c>
      <c r="K95" s="3">
        <f>IF($F95="Hotel",5,IF($F95="Motel",4,IF($F95="Resort",4,IF($F95="Amusement",4,IF($F95="Banquet",3,2)))))+IF($H95&gt;=4,2,IF($H95&gt;=2,1,0))+IF(VALUE($J95)&gt;=2024,2,IF(VALUE($J95)&gt;=2021,1,0))</f>
        <v/>
      </c>
      <c r="L95" s="3">
        <f>IF($K95&gt;=7,"High",IF($K95&gt;=5,"Medium","Low"))</f>
        <v/>
      </c>
      <c r="M95" s="6" t="inlineStr">
        <is>
          <t>Map View</t>
        </is>
      </c>
      <c r="N95" s="7" t="inlineStr">
        <is>
          <t>New</t>
        </is>
      </c>
      <c r="O95" s="7" t="inlineStr"/>
      <c r="P95" s="7" t="inlineStr"/>
      <c r="Q95" s="7" t="inlineStr"/>
      <c r="R95" s="7" t="inlineStr"/>
    </row>
    <row r="96">
      <c r="A96" s="3" t="inlineStr">
        <is>
          <t>Panipat</t>
        </is>
      </c>
      <c r="B96" s="3" t="inlineStr">
        <is>
          <t>CLU/PT-1526B</t>
        </is>
      </c>
      <c r="C96" s="3" t="inlineStr">
        <is>
          <t>karandeep singh deswal</t>
        </is>
      </c>
      <c r="D96" s="3" t="inlineStr">
        <is>
          <t>Sarai kohand</t>
        </is>
      </c>
      <c r="E96" s="3" t="inlineStr">
        <is>
          <t>Amusement Park</t>
        </is>
      </c>
      <c r="F96" s="3" t="inlineStr">
        <is>
          <t>Amusement</t>
        </is>
      </c>
      <c r="G96" s="4" t="n">
        <v>1677</v>
      </c>
      <c r="H96" s="5" t="n">
        <v>0.4143953583766179</v>
      </c>
      <c r="I96" s="3" t="inlineStr">
        <is>
          <t>16/07/2024</t>
        </is>
      </c>
      <c r="J96" s="3" t="inlineStr">
        <is>
          <t>2024</t>
        </is>
      </c>
      <c r="K96" s="3">
        <f>IF($F96="Hotel",5,IF($F96="Motel",4,IF($F96="Resort",4,IF($F96="Amusement",4,IF($F96="Banquet",3,2)))))+IF($H96&gt;=4,2,IF($H96&gt;=2,1,0))+IF(VALUE($J96)&gt;=2024,2,IF(VALUE($J96)&gt;=2021,1,0))</f>
        <v/>
      </c>
      <c r="L96" s="3">
        <f>IF($K96&gt;=7,"High",IF($K96&gt;=5,"Medium","Low"))</f>
        <v/>
      </c>
      <c r="M96" s="6" t="inlineStr">
        <is>
          <t>Map View</t>
        </is>
      </c>
      <c r="N96" s="7" t="inlineStr">
        <is>
          <t>New</t>
        </is>
      </c>
      <c r="O96" s="7" t="inlineStr"/>
      <c r="P96" s="7" t="inlineStr"/>
      <c r="Q96" s="7" t="inlineStr"/>
      <c r="R96" s="7" t="inlineStr"/>
    </row>
    <row r="97">
      <c r="A97" s="3" t="inlineStr">
        <is>
          <t>Panipat</t>
        </is>
      </c>
      <c r="B97" s="3" t="inlineStr">
        <is>
          <t>CLU/PT-1555A</t>
        </is>
      </c>
      <c r="C97" s="3" t="inlineStr">
        <is>
          <t>Smt. ROSY GARG &amp; Smt. NIDHI GARG</t>
        </is>
      </c>
      <c r="D97" s="3" t="inlineStr">
        <is>
          <t>Karhansh</t>
        </is>
      </c>
      <c r="E97" s="3" t="inlineStr">
        <is>
          <t>Banquet Hall</t>
        </is>
      </c>
      <c r="F97" s="3" t="inlineStr">
        <is>
          <t>Banquet</t>
        </is>
      </c>
      <c r="G97" s="4" t="n">
        <v>10425.9</v>
      </c>
      <c r="H97" s="5" t="n">
        <v>2.576293719080966</v>
      </c>
      <c r="I97" s="3" t="inlineStr">
        <is>
          <t>01/04/2023</t>
        </is>
      </c>
      <c r="J97" s="3" t="inlineStr">
        <is>
          <t>2023</t>
        </is>
      </c>
      <c r="K97" s="3">
        <f>IF($F97="Hotel",5,IF($F97="Motel",4,IF($F97="Resort",4,IF($F97="Amusement",4,IF($F97="Banquet",3,2)))))+IF($H97&gt;=4,2,IF($H97&gt;=2,1,0))+IF(VALUE($J97)&gt;=2024,2,IF(VALUE($J97)&gt;=2021,1,0))</f>
        <v/>
      </c>
      <c r="L97" s="3">
        <f>IF($K97&gt;=7,"High",IF($K97&gt;=5,"Medium","Low"))</f>
        <v/>
      </c>
      <c r="M97" s="6" t="inlineStr">
        <is>
          <t>Map View</t>
        </is>
      </c>
      <c r="N97" s="7" t="inlineStr">
        <is>
          <t>New</t>
        </is>
      </c>
      <c r="O97" s="7" t="inlineStr"/>
      <c r="P97" s="7" t="inlineStr"/>
      <c r="Q97" s="7" t="inlineStr"/>
      <c r="R97" s="7" t="inlineStr"/>
    </row>
    <row r="98">
      <c r="A98" s="3" t="inlineStr">
        <is>
          <t>Panipat</t>
        </is>
      </c>
      <c r="B98" s="3" t="inlineStr">
        <is>
          <t>CLU/PT-1580A</t>
        </is>
      </c>
      <c r="C98" s="3" t="inlineStr">
        <is>
          <t>RAJPAL &amp; RAJBIR SINGH</t>
        </is>
      </c>
      <c r="D98" s="3" t="inlineStr">
        <is>
          <t>Azizullapur</t>
        </is>
      </c>
      <c r="E98" s="3" t="inlineStr">
        <is>
          <t>Banquet Hall</t>
        </is>
      </c>
      <c r="F98" s="3" t="inlineStr">
        <is>
          <t>Banquet</t>
        </is>
      </c>
      <c r="G98" s="4" t="n">
        <v>10375.6</v>
      </c>
      <c r="H98" s="5" t="n">
        <v>2.563864329381298</v>
      </c>
      <c r="I98" s="3" t="inlineStr">
        <is>
          <t>04/08/2023</t>
        </is>
      </c>
      <c r="J98" s="3" t="inlineStr">
        <is>
          <t>2023</t>
        </is>
      </c>
      <c r="K98" s="3">
        <f>IF($F98="Hotel",5,IF($F98="Motel",4,IF($F98="Resort",4,IF($F98="Amusement",4,IF($F98="Banquet",3,2)))))+IF($H98&gt;=4,2,IF($H98&gt;=2,1,0))+IF(VALUE($J98)&gt;=2024,2,IF(VALUE($J98)&gt;=2021,1,0))</f>
        <v/>
      </c>
      <c r="L98" s="3">
        <f>IF($K98&gt;=7,"High",IF($K98&gt;=5,"Medium","Low"))</f>
        <v/>
      </c>
      <c r="M98" s="6" t="inlineStr">
        <is>
          <t>Map View</t>
        </is>
      </c>
      <c r="N98" s="7" t="inlineStr">
        <is>
          <t>New</t>
        </is>
      </c>
      <c r="O98" s="7" t="inlineStr"/>
      <c r="P98" s="7" t="inlineStr"/>
      <c r="Q98" s="7" t="inlineStr"/>
      <c r="R98" s="7" t="inlineStr"/>
    </row>
    <row r="99">
      <c r="A99" s="3" t="inlineStr">
        <is>
          <t>Panipat</t>
        </is>
      </c>
      <c r="B99" s="3" t="inlineStr">
        <is>
          <t>CLU/PT-1511A</t>
        </is>
      </c>
      <c r="C99" s="3" t="inlineStr">
        <is>
          <t>ARUN &amp; SHALINI</t>
        </is>
      </c>
      <c r="D99" s="3" t="inlineStr">
        <is>
          <t>Israna</t>
        </is>
      </c>
      <c r="E99" s="3" t="inlineStr">
        <is>
          <t>Banquet Hall</t>
        </is>
      </c>
      <c r="F99" s="3" t="inlineStr">
        <is>
          <t>Banquet</t>
        </is>
      </c>
      <c r="G99" s="4" t="n">
        <v>7420.6</v>
      </c>
      <c r="H99" s="5" t="n">
        <v>1.833668572671157</v>
      </c>
      <c r="I99" s="3" t="inlineStr">
        <is>
          <t>08/05/2023</t>
        </is>
      </c>
      <c r="J99" s="3" t="inlineStr">
        <is>
          <t>2023</t>
        </is>
      </c>
      <c r="K99" s="3">
        <f>IF($F99="Hotel",5,IF($F99="Motel",4,IF($F99="Resort",4,IF($F99="Amusement",4,IF($F99="Banquet",3,2)))))+IF($H99&gt;=4,2,IF($H99&gt;=2,1,0))+IF(VALUE($J99)&gt;=2024,2,IF(VALUE($J99)&gt;=2021,1,0))</f>
        <v/>
      </c>
      <c r="L99" s="3">
        <f>IF($K99&gt;=7,"High",IF($K99&gt;=5,"Medium","Low"))</f>
        <v/>
      </c>
      <c r="M99" s="6" t="inlineStr">
        <is>
          <t>Map View</t>
        </is>
      </c>
      <c r="N99" s="7" t="inlineStr">
        <is>
          <t>New</t>
        </is>
      </c>
      <c r="O99" s="7" t="inlineStr"/>
      <c r="P99" s="7" t="inlineStr"/>
      <c r="Q99" s="7" t="inlineStr"/>
      <c r="R99" s="7" t="inlineStr"/>
    </row>
    <row r="100">
      <c r="A100" s="3" t="inlineStr">
        <is>
          <t>Panipat</t>
        </is>
      </c>
      <c r="B100" s="3" t="inlineStr">
        <is>
          <t>CLU/PT-1614A</t>
        </is>
      </c>
      <c r="C100" s="3" t="inlineStr">
        <is>
          <t>SMT. ROBINA WIFE OF SH. NAVEEN KUMAR</t>
        </is>
      </c>
      <c r="D100" s="3" t="inlineStr">
        <is>
          <t>Khotpura</t>
        </is>
      </c>
      <c r="E100" s="3" t="inlineStr">
        <is>
          <t>Farm house</t>
        </is>
      </c>
      <c r="F100" s="3" t="inlineStr">
        <is>
          <t>Farmhouse</t>
        </is>
      </c>
      <c r="G100" s="4" t="n">
        <v>6626.5</v>
      </c>
      <c r="H100" s="5" t="n">
        <v>1.637442362720727</v>
      </c>
      <c r="I100" s="3" t="inlineStr">
        <is>
          <t>12/09/2023</t>
        </is>
      </c>
      <c r="J100" s="3" t="inlineStr">
        <is>
          <t>2023</t>
        </is>
      </c>
      <c r="K100" s="3">
        <f>IF($F100="Hotel",5,IF($F100="Motel",4,IF($F100="Resort",4,IF($F100="Amusement",4,IF($F100="Banquet",3,2)))))+IF($H100&gt;=4,2,IF($H100&gt;=2,1,0))+IF(VALUE($J100)&gt;=2024,2,IF(VALUE($J100)&gt;=2021,1,0))</f>
        <v/>
      </c>
      <c r="L100" s="3">
        <f>IF($K100&gt;=7,"High",IF($K100&gt;=5,"Medium","Low"))</f>
        <v/>
      </c>
      <c r="M100" s="6" t="inlineStr">
        <is>
          <t>Map View</t>
        </is>
      </c>
      <c r="N100" s="7" t="inlineStr">
        <is>
          <t>New</t>
        </is>
      </c>
      <c r="O100" s="7" t="inlineStr"/>
      <c r="P100" s="7" t="inlineStr"/>
      <c r="Q100" s="7" t="inlineStr"/>
      <c r="R100" s="7" t="inlineStr"/>
    </row>
    <row r="101">
      <c r="A101" s="3" t="inlineStr">
        <is>
          <t>Panipat</t>
        </is>
      </c>
      <c r="B101" s="3" t="inlineStr">
        <is>
          <t>CLU/PT-1583A</t>
        </is>
      </c>
      <c r="C101" s="3" t="inlineStr">
        <is>
          <t>SURESH BAJAJ AND GAYTRI BAJAJ</t>
        </is>
      </c>
      <c r="D101" s="3" t="inlineStr">
        <is>
          <t>Khukhrana</t>
        </is>
      </c>
      <c r="E101" s="3" t="inlineStr">
        <is>
          <t>Farm house</t>
        </is>
      </c>
      <c r="F101" s="3" t="inlineStr">
        <is>
          <t>Farmhouse</t>
        </is>
      </c>
      <c r="G101" s="4" t="n">
        <v>5196.7</v>
      </c>
      <c r="H101" s="5" t="n">
        <v>1.284131400641485</v>
      </c>
      <c r="I101" s="3" t="inlineStr">
        <is>
          <t>06/07/2023</t>
        </is>
      </c>
      <c r="J101" s="3" t="inlineStr">
        <is>
          <t>2023</t>
        </is>
      </c>
      <c r="K101" s="3">
        <f>IF($F101="Hotel",5,IF($F101="Motel",4,IF($F101="Resort",4,IF($F101="Amusement",4,IF($F101="Banquet",3,2)))))+IF($H101&gt;=4,2,IF($H101&gt;=2,1,0))+IF(VALUE($J101)&gt;=2024,2,IF(VALUE($J101)&gt;=2021,1,0))</f>
        <v/>
      </c>
      <c r="L101" s="3">
        <f>IF($K101&gt;=7,"High",IF($K101&gt;=5,"Medium","Low"))</f>
        <v/>
      </c>
      <c r="M101" s="6" t="inlineStr">
        <is>
          <t>Map View</t>
        </is>
      </c>
      <c r="N101" s="7" t="inlineStr">
        <is>
          <t>New</t>
        </is>
      </c>
      <c r="O101" s="7" t="inlineStr"/>
      <c r="P101" s="7" t="inlineStr"/>
      <c r="Q101" s="7" t="inlineStr"/>
      <c r="R101" s="7" t="inlineStr"/>
    </row>
    <row r="102">
      <c r="A102" s="3" t="inlineStr">
        <is>
          <t>Panipat</t>
        </is>
      </c>
      <c r="B102" s="3" t="inlineStr">
        <is>
          <t>CLU/PT-1526A</t>
        </is>
      </c>
      <c r="C102" s="3" t="inlineStr">
        <is>
          <t>karandeep singh deswal</t>
        </is>
      </c>
      <c r="D102" s="3" t="inlineStr">
        <is>
          <t>Sarai kohand</t>
        </is>
      </c>
      <c r="E102" s="3" t="inlineStr">
        <is>
          <t>Entertainment cum mini amusement park</t>
        </is>
      </c>
      <c r="F102" s="3" t="inlineStr">
        <is>
          <t>Amusement</t>
        </is>
      </c>
      <c r="G102" s="4" t="n">
        <v>3975.6</v>
      </c>
      <c r="H102" s="5" t="n">
        <v>0.9823912860835313</v>
      </c>
      <c r="I102" s="3" t="inlineStr">
        <is>
          <t>06/03/2023</t>
        </is>
      </c>
      <c r="J102" s="3" t="inlineStr">
        <is>
          <t>2023</t>
        </is>
      </c>
      <c r="K102" s="3">
        <f>IF($F102="Hotel",5,IF($F102="Motel",4,IF($F102="Resort",4,IF($F102="Amusement",4,IF($F102="Banquet",3,2)))))+IF($H102&gt;=4,2,IF($H102&gt;=2,1,0))+IF(VALUE($J102)&gt;=2024,2,IF(VALUE($J102)&gt;=2021,1,0))</f>
        <v/>
      </c>
      <c r="L102" s="3">
        <f>IF($K102&gt;=7,"High",IF($K102&gt;=5,"Medium","Low"))</f>
        <v/>
      </c>
      <c r="M102" s="6" t="inlineStr">
        <is>
          <t>Map View</t>
        </is>
      </c>
      <c r="N102" s="7" t="inlineStr">
        <is>
          <t>New</t>
        </is>
      </c>
      <c r="O102" s="7" t="inlineStr"/>
      <c r="P102" s="7" t="inlineStr"/>
      <c r="Q102" s="7" t="inlineStr"/>
      <c r="R102" s="7" t="inlineStr"/>
    </row>
    <row r="103">
      <c r="A103" s="3" t="inlineStr">
        <is>
          <t>Panipat</t>
        </is>
      </c>
      <c r="B103" s="3" t="inlineStr">
        <is>
          <t>CLU/PT-1514A</t>
        </is>
      </c>
      <c r="C103" s="3" t="inlineStr">
        <is>
          <t>Hardeep Chhoker</t>
        </is>
      </c>
      <c r="D103" s="3" t="inlineStr">
        <is>
          <t>Passina kalan</t>
        </is>
      </c>
      <c r="E103" s="3" t="inlineStr">
        <is>
          <t>Farm house</t>
        </is>
      </c>
      <c r="F103" s="3" t="inlineStr">
        <is>
          <t>Farmhouse</t>
        </is>
      </c>
      <c r="G103" s="4" t="n">
        <v>6857.5</v>
      </c>
      <c r="H103" s="5" t="n">
        <v>1.694523655377255</v>
      </c>
      <c r="I103" s="3" t="inlineStr">
        <is>
          <t>23/11/2022</t>
        </is>
      </c>
      <c r="J103" s="3" t="inlineStr">
        <is>
          <t>2022</t>
        </is>
      </c>
      <c r="K103" s="3">
        <f>IF($F103="Hotel",5,IF($F103="Motel",4,IF($F103="Resort",4,IF($F103="Amusement",4,IF($F103="Banquet",3,2)))))+IF($H103&gt;=4,2,IF($H103&gt;=2,1,0))+IF(VALUE($J103)&gt;=2024,2,IF(VALUE($J103)&gt;=2021,1,0))</f>
        <v/>
      </c>
      <c r="L103" s="3">
        <f>IF($K103&gt;=7,"High",IF($K103&gt;=5,"Medium","Low"))</f>
        <v/>
      </c>
      <c r="M103" s="6" t="inlineStr">
        <is>
          <t>Map View</t>
        </is>
      </c>
      <c r="N103" s="7" t="inlineStr">
        <is>
          <t>New</t>
        </is>
      </c>
      <c r="O103" s="7" t="inlineStr"/>
      <c r="P103" s="7" t="inlineStr"/>
      <c r="Q103" s="7" t="inlineStr"/>
      <c r="R103" s="7" t="inlineStr"/>
    </row>
    <row r="104">
      <c r="A104" s="3" t="inlineStr">
        <is>
          <t>Panipat</t>
        </is>
      </c>
      <c r="B104" s="3" t="inlineStr">
        <is>
          <t>CLU/PT-1368A</t>
        </is>
      </c>
      <c r="C104" s="3" t="inlineStr">
        <is>
          <t>RANI PALIWAL</t>
        </is>
      </c>
      <c r="D104" s="3" t="inlineStr">
        <is>
          <t>Faridpur</t>
        </is>
      </c>
      <c r="E104" s="3" t="inlineStr">
        <is>
          <t>Farm house</t>
        </is>
      </c>
      <c r="F104" s="3" t="inlineStr">
        <is>
          <t>Farmhouse</t>
        </is>
      </c>
      <c r="G104" s="4" t="n">
        <v>10015.8</v>
      </c>
      <c r="H104" s="5" t="n">
        <v>2.474955891728401</v>
      </c>
      <c r="I104" s="3" t="inlineStr">
        <is>
          <t>25/08/2021</t>
        </is>
      </c>
      <c r="J104" s="3" t="inlineStr">
        <is>
          <t>2021</t>
        </is>
      </c>
      <c r="K104" s="3">
        <f>IF($F104="Hotel",5,IF($F104="Motel",4,IF($F104="Resort",4,IF($F104="Amusement",4,IF($F104="Banquet",3,2)))))+IF($H104&gt;=4,2,IF($H104&gt;=2,1,0))+IF(VALUE($J104)&gt;=2024,2,IF(VALUE($J104)&gt;=2021,1,0))</f>
        <v/>
      </c>
      <c r="L104" s="3">
        <f>IF($K104&gt;=7,"High",IF($K104&gt;=5,"Medium","Low"))</f>
        <v/>
      </c>
      <c r="M104" s="6" t="inlineStr">
        <is>
          <t>Map View</t>
        </is>
      </c>
      <c r="N104" s="7" t="inlineStr">
        <is>
          <t>New</t>
        </is>
      </c>
      <c r="O104" s="7" t="inlineStr"/>
      <c r="P104" s="7" t="inlineStr"/>
      <c r="Q104" s="7" t="inlineStr"/>
      <c r="R104" s="7" t="inlineStr"/>
    </row>
    <row r="105">
      <c r="A105" s="3" t="inlineStr">
        <is>
          <t>Panipat</t>
        </is>
      </c>
      <c r="B105" s="3" t="inlineStr">
        <is>
          <t>CLU/PT-819B</t>
        </is>
      </c>
      <c r="C105" s="3" t="inlineStr">
        <is>
          <t>S/Sh. Nishant &amp; Ankush Ss/o Sh. Satpal Bansal, Smt. Geeta W/o Sh. Satpal Bansal</t>
        </is>
      </c>
      <c r="D105" s="3" t="inlineStr">
        <is>
          <t>ACA Samalkha</t>
        </is>
      </c>
      <c r="E105" s="3" t="inlineStr">
        <is>
          <t>changing project from Motel without Banquet Facility into Motel with Banquet</t>
        </is>
      </c>
      <c r="F105" s="3" t="inlineStr">
        <is>
          <t>Motel</t>
        </is>
      </c>
      <c r="G105" s="4" t="n"/>
      <c r="H105" s="5" t="n"/>
      <c r="I105" s="3" t="inlineStr">
        <is>
          <t>09/03/2019</t>
        </is>
      </c>
      <c r="J105" s="3" t="inlineStr">
        <is>
          <t>2019</t>
        </is>
      </c>
      <c r="K105" s="3">
        <f>IF($F105="Hotel",5,IF($F105="Motel",4,IF($F105="Resort",4,IF($F105="Amusement",4,IF($F105="Banquet",3,2)))))+IF($H105&gt;=4,2,IF($H105&gt;=2,1,0))+IF(VALUE($J105)&gt;=2024,2,IF(VALUE($J105)&gt;=2021,1,0))</f>
        <v/>
      </c>
      <c r="L105" s="3">
        <f>IF($K105&gt;=7,"High",IF($K105&gt;=5,"Medium","Low"))</f>
        <v/>
      </c>
      <c r="M105" s="6" t="inlineStr">
        <is>
          <t>Map View</t>
        </is>
      </c>
      <c r="N105" s="7" t="inlineStr">
        <is>
          <t>New</t>
        </is>
      </c>
      <c r="O105" s="7" t="inlineStr"/>
      <c r="P105" s="7" t="inlineStr"/>
      <c r="Q105" s="7" t="inlineStr"/>
      <c r="R105" s="7" t="inlineStr"/>
    </row>
    <row r="106">
      <c r="A106" s="3" t="inlineStr">
        <is>
          <t>Panipat</t>
        </is>
      </c>
      <c r="B106" s="3" t="inlineStr">
        <is>
          <t>CLU/PT-822</t>
        </is>
      </c>
      <c r="C106" s="3" t="inlineStr">
        <is>
          <t>Sh. Vijay Kumar S/o Sh. Baldev Raj &amp; Smt. Nisha W/o Sh. Vijay Kumar</t>
        </is>
      </c>
      <c r="D106" s="3" t="inlineStr">
        <is>
          <t>Gharaunda</t>
        </is>
      </c>
      <c r="E106" s="3" t="inlineStr">
        <is>
          <t>Motel without Banquet Facility</t>
        </is>
      </c>
      <c r="F106" s="3" t="inlineStr">
        <is>
          <t>Motel</t>
        </is>
      </c>
      <c r="G106" s="4" t="n"/>
      <c r="H106" s="5" t="n"/>
      <c r="I106" s="3" t="inlineStr">
        <is>
          <t>18/01/2018</t>
        </is>
      </c>
      <c r="J106" s="3" t="inlineStr">
        <is>
          <t>2018</t>
        </is>
      </c>
      <c r="K106" s="3">
        <f>IF($F106="Hotel",5,IF($F106="Motel",4,IF($F106="Resort",4,IF($F106="Amusement",4,IF($F106="Banquet",3,2)))))+IF($H106&gt;=4,2,IF($H106&gt;=2,1,0))+IF(VALUE($J106)&gt;=2024,2,IF(VALUE($J106)&gt;=2021,1,0))</f>
        <v/>
      </c>
      <c r="L106" s="3">
        <f>IF($K106&gt;=7,"High",IF($K106&gt;=5,"Medium","Low"))</f>
        <v/>
      </c>
      <c r="M106" s="6" t="inlineStr">
        <is>
          <t>Map View</t>
        </is>
      </c>
      <c r="N106" s="7" t="inlineStr">
        <is>
          <t>New</t>
        </is>
      </c>
      <c r="O106" s="7" t="inlineStr"/>
      <c r="P106" s="7" t="inlineStr"/>
      <c r="Q106" s="7" t="inlineStr"/>
      <c r="R106" s="7" t="inlineStr"/>
    </row>
    <row r="107">
      <c r="A107" s="3" t="inlineStr">
        <is>
          <t>Panipat</t>
        </is>
      </c>
      <c r="B107" s="3" t="inlineStr">
        <is>
          <t>CLU/PT-819</t>
        </is>
      </c>
      <c r="C107" s="3" t="inlineStr">
        <is>
          <t>Smt. Geeta W/o Sh. Satpal, S/Sh. Nishant, Ankush Ss/o Sh. Satpal</t>
        </is>
      </c>
      <c r="D107" s="3" t="inlineStr">
        <is>
          <t>Samalkha</t>
        </is>
      </c>
      <c r="E107" s="3" t="inlineStr">
        <is>
          <t>Motel without Banquet facility</t>
        </is>
      </c>
      <c r="F107" s="3" t="inlineStr">
        <is>
          <t>Motel</t>
        </is>
      </c>
      <c r="G107" s="4" t="n"/>
      <c r="H107" s="5" t="n"/>
      <c r="I107" s="3" t="inlineStr">
        <is>
          <t>01/06/2017</t>
        </is>
      </c>
      <c r="J107" s="3" t="inlineStr">
        <is>
          <t>2017</t>
        </is>
      </c>
      <c r="K107" s="3">
        <f>IF($F107="Hotel",5,IF($F107="Motel",4,IF($F107="Resort",4,IF($F107="Amusement",4,IF($F107="Banquet",3,2)))))+IF($H107&gt;=4,2,IF($H107&gt;=2,1,0))+IF(VALUE($J107)&gt;=2024,2,IF(VALUE($J107)&gt;=2021,1,0))</f>
        <v/>
      </c>
      <c r="L107" s="3">
        <f>IF($K107&gt;=7,"High",IF($K107&gt;=5,"Medium","Low"))</f>
        <v/>
      </c>
      <c r="M107" s="6" t="inlineStr">
        <is>
          <t>Map View</t>
        </is>
      </c>
      <c r="N107" s="7" t="inlineStr">
        <is>
          <t>New</t>
        </is>
      </c>
      <c r="O107" s="7" t="inlineStr"/>
      <c r="P107" s="7" t="inlineStr"/>
      <c r="Q107" s="7" t="inlineStr"/>
      <c r="R107" s="7" t="inlineStr"/>
    </row>
    <row r="108">
      <c r="A108" s="3" t="inlineStr">
        <is>
          <t>Rohtak</t>
        </is>
      </c>
      <c r="B108" s="3" t="inlineStr">
        <is>
          <t>CLU/RK-1222A</t>
        </is>
      </c>
      <c r="C108" s="3" t="inlineStr">
        <is>
          <t>LPSIS Pvt. Ltd. &amp; Sohana Auto Pvt. Ltd.</t>
        </is>
      </c>
      <c r="D108" s="3" t="inlineStr">
        <is>
          <t>Gandhara</t>
        </is>
      </c>
      <c r="E108" s="3" t="inlineStr">
        <is>
          <t>Hotel-cum-Resort</t>
        </is>
      </c>
      <c r="F108" s="3" t="inlineStr">
        <is>
          <t>Hotel</t>
        </is>
      </c>
      <c r="G108" s="4" t="n">
        <v>21362.4</v>
      </c>
      <c r="H108" s="5" t="n">
        <v>5.278759334397533</v>
      </c>
      <c r="I108" s="3" t="inlineStr">
        <is>
          <t>23/07/2025</t>
        </is>
      </c>
      <c r="J108" s="3" t="inlineStr">
        <is>
          <t>2025</t>
        </is>
      </c>
      <c r="K108" s="3">
        <f>IF($F108="Hotel",5,IF($F108="Motel",4,IF($F108="Resort",4,IF($F108="Amusement",4,IF($F108="Banquet",3,2)))))+IF($H108&gt;=4,2,IF($H108&gt;=2,1,0))+IF(VALUE($J108)&gt;=2024,2,IF(VALUE($J108)&gt;=2021,1,0))</f>
        <v/>
      </c>
      <c r="L108" s="3">
        <f>IF($K108&gt;=7,"High",IF($K108&gt;=5,"Medium","Low"))</f>
        <v/>
      </c>
      <c r="M108" s="6" t="inlineStr">
        <is>
          <t>Map View</t>
        </is>
      </c>
      <c r="N108" s="7" t="inlineStr">
        <is>
          <t>Contact found</t>
        </is>
      </c>
      <c r="O108" s="7" t="inlineStr">
        <is>
          <t>Rahul &amp; Sandhya Jain — LPSIS P.L. (CIN U74900DL2011PTC225360), Universal Precision Screws group, Rohtak</t>
        </is>
      </c>
      <c r="P108" s="7" t="inlineStr">
        <is>
          <t>rfq@lpsis.co.in; 9729870604; 7496977882</t>
        </is>
      </c>
      <c r="Q108" s="7" t="inlineStr"/>
      <c r="R108" s="7" t="inlineStr">
        <is>
          <t>Major Rohtak fastener manufacturer's family; NH-10 site. Co-licensee 'Sohana Auto P.L.' unresolved in MCA — verify spelling. Src: ZaubaCorp/lpsis.co.in</t>
        </is>
      </c>
    </row>
    <row r="109">
      <c r="A109" s="3" t="inlineStr">
        <is>
          <t>Rohtak</t>
        </is>
      </c>
      <c r="B109" s="3" t="inlineStr">
        <is>
          <t>CLU/RK-1237A</t>
        </is>
      </c>
      <c r="C109" s="3" t="inlineStr">
        <is>
          <t>Satyanarayan S/o Harshe Ram</t>
        </is>
      </c>
      <c r="D109" s="3" t="inlineStr">
        <is>
          <t>Marondi rangran</t>
        </is>
      </c>
      <c r="E109" s="3" t="inlineStr">
        <is>
          <t>Amusement Park</t>
        </is>
      </c>
      <c r="F109" s="3" t="inlineStr">
        <is>
          <t>Amusement</t>
        </is>
      </c>
      <c r="G109" s="4" t="n">
        <v>11533.55</v>
      </c>
      <c r="H109" s="5" t="n">
        <v>2.849999752894837</v>
      </c>
      <c r="I109" s="3" t="inlineStr">
        <is>
          <t>23/06/2025</t>
        </is>
      </c>
      <c r="J109" s="3" t="inlineStr">
        <is>
          <t>2025</t>
        </is>
      </c>
      <c r="K109" s="3">
        <f>IF($F109="Hotel",5,IF($F109="Motel",4,IF($F109="Resort",4,IF($F109="Amusement",4,IF($F109="Banquet",3,2)))))+IF($H109&gt;=4,2,IF($H109&gt;=2,1,0))+IF(VALUE($J109)&gt;=2024,2,IF(VALUE($J109)&gt;=2021,1,0))</f>
        <v/>
      </c>
      <c r="L109" s="3">
        <f>IF($K109&gt;=7,"High",IF($K109&gt;=5,"Medium","Low"))</f>
        <v/>
      </c>
      <c r="M109" s="6" t="inlineStr">
        <is>
          <t>Map View</t>
        </is>
      </c>
      <c r="N109" s="7" t="inlineStr">
        <is>
          <t>New</t>
        </is>
      </c>
      <c r="O109" s="7" t="inlineStr"/>
      <c r="P109" s="7" t="inlineStr"/>
      <c r="Q109" s="7" t="inlineStr"/>
      <c r="R109" s="7" t="inlineStr"/>
    </row>
    <row r="110">
      <c r="A110" s="3" t="inlineStr">
        <is>
          <t>Rohtak</t>
        </is>
      </c>
      <c r="B110" s="3" t="inlineStr">
        <is>
          <t>CLU/RK-1218A</t>
        </is>
      </c>
      <c r="C110" s="3" t="inlineStr">
        <is>
          <t>Balkishan Saini and Suber Singh Saini</t>
        </is>
      </c>
      <c r="D110" s="3" t="inlineStr">
        <is>
          <t>Lahli</t>
        </is>
      </c>
      <c r="E110" s="3" t="inlineStr">
        <is>
          <t>Farm house</t>
        </is>
      </c>
      <c r="F110" s="3" t="inlineStr">
        <is>
          <t>Farmhouse</t>
        </is>
      </c>
      <c r="G110" s="4" t="n">
        <v>9893.02</v>
      </c>
      <c r="H110" s="5" t="n">
        <v>2.444616319813386</v>
      </c>
      <c r="I110" s="3" t="inlineStr">
        <is>
          <t>10/03/2025</t>
        </is>
      </c>
      <c r="J110" s="3" t="inlineStr">
        <is>
          <t>2025</t>
        </is>
      </c>
      <c r="K110" s="3">
        <f>IF($F110="Hotel",5,IF($F110="Motel",4,IF($F110="Resort",4,IF($F110="Amusement",4,IF($F110="Banquet",3,2)))))+IF($H110&gt;=4,2,IF($H110&gt;=2,1,0))+IF(VALUE($J110)&gt;=2024,2,IF(VALUE($J110)&gt;=2021,1,0))</f>
        <v/>
      </c>
      <c r="L110" s="3">
        <f>IF($K110&gt;=7,"High",IF($K110&gt;=5,"Medium","Low"))</f>
        <v/>
      </c>
      <c r="M110" s="6" t="inlineStr">
        <is>
          <t>Map View</t>
        </is>
      </c>
      <c r="N110" s="7" t="inlineStr">
        <is>
          <t>New</t>
        </is>
      </c>
      <c r="O110" s="7" t="inlineStr"/>
      <c r="P110" s="7" t="inlineStr"/>
      <c r="Q110" s="7" t="inlineStr"/>
      <c r="R110" s="7" t="inlineStr"/>
    </row>
    <row r="111">
      <c r="A111" s="3" t="inlineStr">
        <is>
          <t>Rohtak</t>
        </is>
      </c>
      <c r="B111" s="3" t="inlineStr">
        <is>
          <t>CLU/RK-1169A</t>
        </is>
      </c>
      <c r="C111" s="3" t="inlineStr">
        <is>
          <t>brij bhushan</t>
        </is>
      </c>
      <c r="D111" s="3" t="inlineStr">
        <is>
          <t>Kalanaur khurd</t>
        </is>
      </c>
      <c r="E111" s="3" t="inlineStr">
        <is>
          <t>Banquet Hall</t>
        </is>
      </c>
      <c r="F111" s="3" t="inlineStr">
        <is>
          <t>Banquet</t>
        </is>
      </c>
      <c r="G111" s="4" t="n">
        <v>5460.1</v>
      </c>
      <c r="H111" s="5" t="n">
        <v>1.349218900579709</v>
      </c>
      <c r="I111" s="3" t="inlineStr">
        <is>
          <t>12/06/2025</t>
        </is>
      </c>
      <c r="J111" s="3" t="inlineStr">
        <is>
          <t>2025</t>
        </is>
      </c>
      <c r="K111" s="3">
        <f>IF($F111="Hotel",5,IF($F111="Motel",4,IF($F111="Resort",4,IF($F111="Amusement",4,IF($F111="Banquet",3,2)))))+IF($H111&gt;=4,2,IF($H111&gt;=2,1,0))+IF(VALUE($J111)&gt;=2024,2,IF(VALUE($J111)&gt;=2021,1,0))</f>
        <v/>
      </c>
      <c r="L111" s="3">
        <f>IF($K111&gt;=7,"High",IF($K111&gt;=5,"Medium","Low"))</f>
        <v/>
      </c>
      <c r="M111" s="6" t="inlineStr">
        <is>
          <t>Map View</t>
        </is>
      </c>
      <c r="N111" s="7" t="inlineStr">
        <is>
          <t>New</t>
        </is>
      </c>
      <c r="O111" s="7" t="inlineStr"/>
      <c r="P111" s="7" t="inlineStr"/>
      <c r="Q111" s="7" t="inlineStr"/>
      <c r="R111" s="7" t="inlineStr"/>
    </row>
    <row r="112">
      <c r="A112" s="3" t="inlineStr">
        <is>
          <t>Rohtak</t>
        </is>
      </c>
      <c r="B112" s="3" t="inlineStr">
        <is>
          <t>CLU/RK-1202A</t>
        </is>
      </c>
      <c r="C112" s="3" t="inlineStr">
        <is>
          <t>NARESH KUMAR</t>
        </is>
      </c>
      <c r="D112" s="3" t="inlineStr">
        <is>
          <t>Bhainsru kalan</t>
        </is>
      </c>
      <c r="E112" s="3" t="inlineStr">
        <is>
          <t>Farm house</t>
        </is>
      </c>
      <c r="F112" s="3" t="inlineStr">
        <is>
          <t>Farmhouse</t>
        </is>
      </c>
      <c r="G112" s="4" t="n">
        <v>5321.1</v>
      </c>
      <c r="H112" s="5" t="n">
        <v>1.314871282920585</v>
      </c>
      <c r="I112" s="3" t="inlineStr">
        <is>
          <t>05/02/2025</t>
        </is>
      </c>
      <c r="J112" s="3" t="inlineStr">
        <is>
          <t>2025</t>
        </is>
      </c>
      <c r="K112" s="3">
        <f>IF($F112="Hotel",5,IF($F112="Motel",4,IF($F112="Resort",4,IF($F112="Amusement",4,IF($F112="Banquet",3,2)))))+IF($H112&gt;=4,2,IF($H112&gt;=2,1,0))+IF(VALUE($J112)&gt;=2024,2,IF(VALUE($J112)&gt;=2021,1,0))</f>
        <v/>
      </c>
      <c r="L112" s="3">
        <f>IF($K112&gt;=7,"High",IF($K112&gt;=5,"Medium","Low"))</f>
        <v/>
      </c>
      <c r="M112" s="6" t="inlineStr">
        <is>
          <t>Map View</t>
        </is>
      </c>
      <c r="N112" s="7" t="inlineStr">
        <is>
          <t>New</t>
        </is>
      </c>
      <c r="O112" s="7" t="inlineStr"/>
      <c r="P112" s="7" t="inlineStr"/>
      <c r="Q112" s="7" t="inlineStr"/>
      <c r="R112" s="7" t="inlineStr"/>
    </row>
    <row r="113">
      <c r="A113" s="3" t="inlineStr">
        <is>
          <t>Rohtak</t>
        </is>
      </c>
      <c r="B113" s="3" t="inlineStr">
        <is>
          <t>CLU/RK-1162A</t>
        </is>
      </c>
      <c r="C113" s="3" t="inlineStr">
        <is>
          <t>BALBIR</t>
        </is>
      </c>
      <c r="D113" s="3" t="inlineStr">
        <is>
          <t>Ismaila-11B</t>
        </is>
      </c>
      <c r="E113" s="3" t="inlineStr">
        <is>
          <t>Amusement Park</t>
        </is>
      </c>
      <c r="F113" s="3" t="inlineStr">
        <is>
          <t>Amusement</t>
        </is>
      </c>
      <c r="G113" s="4" t="n">
        <v>16221.6</v>
      </c>
      <c r="H113" s="5" t="n">
        <v>4.008441112368602</v>
      </c>
      <c r="I113" s="3" t="inlineStr">
        <is>
          <t>15/10/2023</t>
        </is>
      </c>
      <c r="J113" s="3" t="inlineStr">
        <is>
          <t>2023</t>
        </is>
      </c>
      <c r="K113" s="3">
        <f>IF($F113="Hotel",5,IF($F113="Motel",4,IF($F113="Resort",4,IF($F113="Amusement",4,IF($F113="Banquet",3,2)))))+IF($H113&gt;=4,2,IF($H113&gt;=2,1,0))+IF(VALUE($J113)&gt;=2024,2,IF(VALUE($J113)&gt;=2021,1,0))</f>
        <v/>
      </c>
      <c r="L113" s="3">
        <f>IF($K113&gt;=7,"High",IF($K113&gt;=5,"Medium","Low"))</f>
        <v/>
      </c>
      <c r="M113" s="6" t="inlineStr">
        <is>
          <t>Map View</t>
        </is>
      </c>
      <c r="N113" s="7" t="inlineStr">
        <is>
          <t>New</t>
        </is>
      </c>
      <c r="O113" s="7" t="inlineStr"/>
      <c r="P113" s="7" t="inlineStr"/>
      <c r="Q113" s="7" t="inlineStr"/>
      <c r="R113" s="7" t="inlineStr"/>
    </row>
    <row r="114">
      <c r="A114" s="3" t="inlineStr">
        <is>
          <t>Rohtak</t>
        </is>
      </c>
      <c r="B114" s="3" t="inlineStr">
        <is>
          <t>CLU/RK-1086A</t>
        </is>
      </c>
      <c r="C114" s="3" t="inlineStr">
        <is>
          <t>Mr. Bhavesh</t>
        </is>
      </c>
      <c r="D114" s="3" t="inlineStr">
        <is>
          <t>Kehrawar</t>
        </is>
      </c>
      <c r="E114" s="3" t="inlineStr">
        <is>
          <t>Motel cum Restaurant</t>
        </is>
      </c>
      <c r="F114" s="3" t="inlineStr">
        <is>
          <t>Motel</t>
        </is>
      </c>
      <c r="G114" s="4" t="n">
        <v>8007.3</v>
      </c>
      <c r="H114" s="5" t="n">
        <v>1.97864517181222</v>
      </c>
      <c r="I114" s="3" t="inlineStr">
        <is>
          <t>15/05/2023</t>
        </is>
      </c>
      <c r="J114" s="3" t="inlineStr">
        <is>
          <t>2023</t>
        </is>
      </c>
      <c r="K114" s="3">
        <f>IF($F114="Hotel",5,IF($F114="Motel",4,IF($F114="Resort",4,IF($F114="Amusement",4,IF($F114="Banquet",3,2)))))+IF($H114&gt;=4,2,IF($H114&gt;=2,1,0))+IF(VALUE($J114)&gt;=2024,2,IF(VALUE($J114)&gt;=2021,1,0))</f>
        <v/>
      </c>
      <c r="L114" s="3">
        <f>IF($K114&gt;=7,"High",IF($K114&gt;=5,"Medium","Low"))</f>
        <v/>
      </c>
      <c r="M114" s="6" t="inlineStr">
        <is>
          <t>Map View</t>
        </is>
      </c>
      <c r="N114" s="7" t="inlineStr">
        <is>
          <t>New</t>
        </is>
      </c>
      <c r="O114" s="7" t="inlineStr"/>
      <c r="P114" s="7" t="inlineStr"/>
      <c r="Q114" s="7" t="inlineStr"/>
      <c r="R114" s="7" t="inlineStr"/>
    </row>
    <row r="115">
      <c r="A115" s="3" t="inlineStr">
        <is>
          <t>Rohtak</t>
        </is>
      </c>
      <c r="B115" s="3" t="inlineStr">
        <is>
          <t>CLU/RK-1095A</t>
        </is>
      </c>
      <c r="C115" s="3" t="inlineStr">
        <is>
          <t>Hexagon Infratech</t>
        </is>
      </c>
      <c r="D115" s="3" t="inlineStr">
        <is>
          <t>Gandhara</t>
        </is>
      </c>
      <c r="E115" s="3" t="inlineStr">
        <is>
          <t>Hotel-cum-Resort</t>
        </is>
      </c>
      <c r="F115" s="3" t="inlineStr">
        <is>
          <t>Hotel</t>
        </is>
      </c>
      <c r="G115" s="4" t="n">
        <v>18189.08</v>
      </c>
      <c r="H115" s="5" t="n">
        <v>4.494615578497897</v>
      </c>
      <c r="I115" s="3" t="inlineStr">
        <is>
          <t>13/05/2022</t>
        </is>
      </c>
      <c r="J115" s="3" t="inlineStr">
        <is>
          <t>2022</t>
        </is>
      </c>
      <c r="K115" s="3">
        <f>IF($F115="Hotel",5,IF($F115="Motel",4,IF($F115="Resort",4,IF($F115="Amusement",4,IF($F115="Banquet",3,2)))))+IF($H115&gt;=4,2,IF($H115&gt;=2,1,0))+IF(VALUE($J115)&gt;=2024,2,IF(VALUE($J115)&gt;=2021,1,0))</f>
        <v/>
      </c>
      <c r="L115" s="3">
        <f>IF($K115&gt;=7,"High",IF($K115&gt;=5,"Medium","Low"))</f>
        <v/>
      </c>
      <c r="M115" s="6" t="inlineStr">
        <is>
          <t>Map View</t>
        </is>
      </c>
      <c r="N115" s="7" t="inlineStr">
        <is>
          <t>New</t>
        </is>
      </c>
      <c r="O115" s="7" t="inlineStr"/>
      <c r="P115" s="7" t="inlineStr"/>
      <c r="Q115" s="7" t="inlineStr"/>
      <c r="R115" s="7" t="inlineStr"/>
    </row>
    <row r="116">
      <c r="A116" s="3" t="inlineStr">
        <is>
          <t>Rohtak</t>
        </is>
      </c>
      <c r="B116" s="3" t="inlineStr">
        <is>
          <t>CLU/RK-1093A</t>
        </is>
      </c>
      <c r="C116" s="3" t="inlineStr">
        <is>
          <t>Rishab Garg</t>
        </is>
      </c>
      <c r="D116" s="3" t="inlineStr">
        <is>
          <t>Sampla</t>
        </is>
      </c>
      <c r="E116" s="3" t="inlineStr">
        <is>
          <t>Farm house</t>
        </is>
      </c>
      <c r="F116" s="3" t="inlineStr">
        <is>
          <t>Farmhouse</t>
        </is>
      </c>
      <c r="G116" s="4" t="n">
        <v>6234.3</v>
      </c>
      <c r="H116" s="5" t="n">
        <v>1.540527717786135</v>
      </c>
      <c r="I116" s="3" t="inlineStr">
        <is>
          <t>05/04/2022</t>
        </is>
      </c>
      <c r="J116" s="3" t="inlineStr">
        <is>
          <t>2022</t>
        </is>
      </c>
      <c r="K116" s="3">
        <f>IF($F116="Hotel",5,IF($F116="Motel",4,IF($F116="Resort",4,IF($F116="Amusement",4,IF($F116="Banquet",3,2)))))+IF($H116&gt;=4,2,IF($H116&gt;=2,1,0))+IF(VALUE($J116)&gt;=2024,2,IF(VALUE($J116)&gt;=2021,1,0))</f>
        <v/>
      </c>
      <c r="L116" s="3">
        <f>IF($K116&gt;=7,"High",IF($K116&gt;=5,"Medium","Low"))</f>
        <v/>
      </c>
      <c r="M116" s="6" t="inlineStr">
        <is>
          <t>Map View</t>
        </is>
      </c>
      <c r="N116" s="7" t="inlineStr">
        <is>
          <t>New</t>
        </is>
      </c>
      <c r="O116" s="7" t="inlineStr"/>
      <c r="P116" s="7" t="inlineStr"/>
      <c r="Q116" s="7" t="inlineStr"/>
      <c r="R116" s="7" t="inlineStr"/>
    </row>
    <row r="117">
      <c r="A117" s="3" t="inlineStr">
        <is>
          <t>Rohtak</t>
        </is>
      </c>
      <c r="B117" s="3" t="inlineStr">
        <is>
          <t>CLU/RK-1077A</t>
        </is>
      </c>
      <c r="C117" s="3" t="inlineStr">
        <is>
          <t>SH.LAKHPAT SINGH</t>
        </is>
      </c>
      <c r="D117" s="3" t="inlineStr">
        <is>
          <t>Kehrawar</t>
        </is>
      </c>
      <c r="E117" s="3" t="inlineStr">
        <is>
          <t>Motel</t>
        </is>
      </c>
      <c r="F117" s="3" t="inlineStr">
        <is>
          <t>Motel</t>
        </is>
      </c>
      <c r="G117" s="4" t="n">
        <v>4469.8</v>
      </c>
      <c r="H117" s="5" t="n">
        <v>1.104510657645681</v>
      </c>
      <c r="I117" s="3" t="inlineStr">
        <is>
          <t>31/07/2022</t>
        </is>
      </c>
      <c r="J117" s="3" t="inlineStr">
        <is>
          <t>2022</t>
        </is>
      </c>
      <c r="K117" s="3">
        <f>IF($F117="Hotel",5,IF($F117="Motel",4,IF($F117="Resort",4,IF($F117="Amusement",4,IF($F117="Banquet",3,2)))))+IF($H117&gt;=4,2,IF($H117&gt;=2,1,0))+IF(VALUE($J117)&gt;=2024,2,IF(VALUE($J117)&gt;=2021,1,0))</f>
        <v/>
      </c>
      <c r="L117" s="3">
        <f>IF($K117&gt;=7,"High",IF($K117&gt;=5,"Medium","Low"))</f>
        <v/>
      </c>
      <c r="M117" s="6" t="inlineStr">
        <is>
          <t>Map View</t>
        </is>
      </c>
      <c r="N117" s="7" t="inlineStr">
        <is>
          <t>New</t>
        </is>
      </c>
      <c r="O117" s="7" t="inlineStr"/>
      <c r="P117" s="7" t="inlineStr"/>
      <c r="Q117" s="7" t="inlineStr"/>
      <c r="R117" s="7" t="inlineStr"/>
    </row>
    <row r="118">
      <c r="A118" s="3" t="inlineStr">
        <is>
          <t>Rohtak</t>
        </is>
      </c>
      <c r="B118" s="3" t="inlineStr">
        <is>
          <t>CLU/RK-1068A</t>
        </is>
      </c>
      <c r="C118" s="3" t="inlineStr">
        <is>
          <t>prikshit katyal</t>
        </is>
      </c>
      <c r="D118" s="3" t="inlineStr">
        <is>
          <t>Ismaila-11B</t>
        </is>
      </c>
      <c r="E118" s="3" t="inlineStr">
        <is>
          <t>Entertainment cum mini amusement park</t>
        </is>
      </c>
      <c r="F118" s="3" t="inlineStr">
        <is>
          <t>Amusement</t>
        </is>
      </c>
      <c r="G118" s="4" t="n">
        <v>17375.54</v>
      </c>
      <c r="H118" s="5" t="n">
        <v>4.293585644178449</v>
      </c>
      <c r="I118" s="3" t="inlineStr">
        <is>
          <t>23/11/2021</t>
        </is>
      </c>
      <c r="J118" s="3" t="inlineStr">
        <is>
          <t>2021</t>
        </is>
      </c>
      <c r="K118" s="3">
        <f>IF($F118="Hotel",5,IF($F118="Motel",4,IF($F118="Resort",4,IF($F118="Amusement",4,IF($F118="Banquet",3,2)))))+IF($H118&gt;=4,2,IF($H118&gt;=2,1,0))+IF(VALUE($J118)&gt;=2024,2,IF(VALUE($J118)&gt;=2021,1,0))</f>
        <v/>
      </c>
      <c r="L118" s="3">
        <f>IF($K118&gt;=7,"High",IF($K118&gt;=5,"Medium","Low"))</f>
        <v/>
      </c>
      <c r="M118" s="6" t="inlineStr">
        <is>
          <t>Map View</t>
        </is>
      </c>
      <c r="N118" s="7" t="inlineStr">
        <is>
          <t>New</t>
        </is>
      </c>
      <c r="O118" s="7" t="inlineStr"/>
      <c r="P118" s="7" t="inlineStr"/>
      <c r="Q118" s="7" t="inlineStr"/>
      <c r="R118" s="7" t="inlineStr"/>
    </row>
    <row r="119">
      <c r="A119" s="3" t="inlineStr">
        <is>
          <t>Rohtak</t>
        </is>
      </c>
      <c r="B119" s="3" t="inlineStr">
        <is>
          <t>CLU/RK-987A</t>
        </is>
      </c>
      <c r="C119" s="3" t="inlineStr">
        <is>
          <t>RAJESH KUMAR</t>
        </is>
      </c>
      <c r="D119" s="3" t="inlineStr">
        <is>
          <t>Sarai ahmed</t>
        </is>
      </c>
      <c r="E119" s="3" t="inlineStr">
        <is>
          <t>Banquet Hall</t>
        </is>
      </c>
      <c r="F119" s="3" t="inlineStr">
        <is>
          <t>Banquet</t>
        </is>
      </c>
      <c r="G119" s="4" t="n">
        <v>12165.17</v>
      </c>
      <c r="H119" s="5" t="n">
        <v>3.006076315958546</v>
      </c>
      <c r="I119" s="3" t="inlineStr">
        <is>
          <t>12/12/2021</t>
        </is>
      </c>
      <c r="J119" s="3" t="inlineStr">
        <is>
          <t>2021</t>
        </is>
      </c>
      <c r="K119" s="3">
        <f>IF($F119="Hotel",5,IF($F119="Motel",4,IF($F119="Resort",4,IF($F119="Amusement",4,IF($F119="Banquet",3,2)))))+IF($H119&gt;=4,2,IF($H119&gt;=2,1,0))+IF(VALUE($J119)&gt;=2024,2,IF(VALUE($J119)&gt;=2021,1,0))</f>
        <v/>
      </c>
      <c r="L119" s="3">
        <f>IF($K119&gt;=7,"High",IF($K119&gt;=5,"Medium","Low"))</f>
        <v/>
      </c>
      <c r="M119" s="6" t="inlineStr">
        <is>
          <t>Map View</t>
        </is>
      </c>
      <c r="N119" s="7" t="inlineStr">
        <is>
          <t>New</t>
        </is>
      </c>
      <c r="O119" s="7" t="inlineStr"/>
      <c r="P119" s="7" t="inlineStr"/>
      <c r="Q119" s="7" t="inlineStr"/>
      <c r="R119" s="7" t="inlineStr"/>
    </row>
    <row r="120">
      <c r="A120" s="3" t="inlineStr">
        <is>
          <t>Rohtak</t>
        </is>
      </c>
      <c r="B120" s="3" t="inlineStr">
        <is>
          <t>CLU/RK-1045A</t>
        </is>
      </c>
      <c r="C120" s="3" t="inlineStr">
        <is>
          <t>seema  khurana</t>
        </is>
      </c>
      <c r="D120" s="3" t="inlineStr">
        <is>
          <t>Ismaila-9b</t>
        </is>
      </c>
      <c r="E120" s="3" t="inlineStr">
        <is>
          <t>Motel without Banquet Facility</t>
        </is>
      </c>
      <c r="F120" s="3" t="inlineStr">
        <is>
          <t>Motel</t>
        </is>
      </c>
      <c r="G120" s="4" t="n">
        <v>4367.8</v>
      </c>
      <c r="H120" s="5" t="n">
        <v>1.079305931018123</v>
      </c>
      <c r="I120" s="3" t="inlineStr">
        <is>
          <t>15/01/2021</t>
        </is>
      </c>
      <c r="J120" s="3" t="inlineStr">
        <is>
          <t>2021</t>
        </is>
      </c>
      <c r="K120" s="3">
        <f>IF($F120="Hotel",5,IF($F120="Motel",4,IF($F120="Resort",4,IF($F120="Amusement",4,IF($F120="Banquet",3,2)))))+IF($H120&gt;=4,2,IF($H120&gt;=2,1,0))+IF(VALUE($J120)&gt;=2024,2,IF(VALUE($J120)&gt;=2021,1,0))</f>
        <v/>
      </c>
      <c r="L120" s="3">
        <f>IF($K120&gt;=7,"High",IF($K120&gt;=5,"Medium","Low"))</f>
        <v/>
      </c>
      <c r="M120" s="6" t="inlineStr">
        <is>
          <t>Map View</t>
        </is>
      </c>
      <c r="N120" s="7" t="inlineStr">
        <is>
          <t>New</t>
        </is>
      </c>
      <c r="O120" s="7" t="inlineStr"/>
      <c r="P120" s="7" t="inlineStr"/>
      <c r="Q120" s="7" t="inlineStr"/>
      <c r="R120" s="7" t="inlineStr"/>
    </row>
    <row r="121">
      <c r="A121" s="3" t="inlineStr">
        <is>
          <t>Rohtak</t>
        </is>
      </c>
      <c r="B121" s="3" t="inlineStr">
        <is>
          <t>CLU/RK-1016A</t>
        </is>
      </c>
      <c r="C121" s="3" t="inlineStr">
        <is>
          <t>Payal  Gupta</t>
        </is>
      </c>
      <c r="D121" s="3" t="inlineStr">
        <is>
          <t>Bhalot</t>
        </is>
      </c>
      <c r="E121" s="3" t="inlineStr">
        <is>
          <t>Farm house</t>
        </is>
      </c>
      <c r="F121" s="3" t="inlineStr">
        <is>
          <t>Farmhouse</t>
        </is>
      </c>
      <c r="G121" s="4" t="n">
        <v>1279</v>
      </c>
      <c r="H121" s="5" t="n">
        <v>0.316047503496538</v>
      </c>
      <c r="I121" s="3" t="inlineStr">
        <is>
          <t>22/03/2021</t>
        </is>
      </c>
      <c r="J121" s="3" t="inlineStr">
        <is>
          <t>2021</t>
        </is>
      </c>
      <c r="K121" s="3">
        <f>IF($F121="Hotel",5,IF($F121="Motel",4,IF($F121="Resort",4,IF($F121="Amusement",4,IF($F121="Banquet",3,2)))))+IF($H121&gt;=4,2,IF($H121&gt;=2,1,0))+IF(VALUE($J121)&gt;=2024,2,IF(VALUE($J121)&gt;=2021,1,0))</f>
        <v/>
      </c>
      <c r="L121" s="3">
        <f>IF($K121&gt;=7,"High",IF($K121&gt;=5,"Medium","Low"))</f>
        <v/>
      </c>
      <c r="M121" s="6" t="inlineStr">
        <is>
          <t>Map View</t>
        </is>
      </c>
      <c r="N121" s="7" t="inlineStr">
        <is>
          <t>New</t>
        </is>
      </c>
      <c r="O121" s="7" t="inlineStr"/>
      <c r="P121" s="7" t="inlineStr"/>
      <c r="Q121" s="7" t="inlineStr"/>
      <c r="R121" s="7" t="inlineStr"/>
    </row>
    <row r="122">
      <c r="A122" s="3" t="inlineStr">
        <is>
          <t>Rohtak</t>
        </is>
      </c>
      <c r="B122" s="3" t="inlineStr">
        <is>
          <t>CLU/RK-1021</t>
        </is>
      </c>
      <c r="C122" s="3" t="inlineStr">
        <is>
          <t>Kamlesh Malik D/o Sh. Tareef Singh</t>
        </is>
      </c>
      <c r="D122" s="3" t="inlineStr">
        <is>
          <t>Village Ismaila-11- Biswa</t>
        </is>
      </c>
      <c r="E122" s="3" t="inlineStr">
        <is>
          <t>Motel without banquet facility</t>
        </is>
      </c>
      <c r="F122" s="3" t="inlineStr">
        <is>
          <t>Motel</t>
        </is>
      </c>
      <c r="G122" s="4" t="n"/>
      <c r="H122" s="5" t="n"/>
      <c r="I122" s="3" t="inlineStr">
        <is>
          <t>06/10/2020</t>
        </is>
      </c>
      <c r="J122" s="3" t="inlineStr">
        <is>
          <t>2020</t>
        </is>
      </c>
      <c r="K122" s="3">
        <f>IF($F122="Hotel",5,IF($F122="Motel",4,IF($F122="Resort",4,IF($F122="Amusement",4,IF($F122="Banquet",3,2)))))+IF($H122&gt;=4,2,IF($H122&gt;=2,1,0))+IF(VALUE($J122)&gt;=2024,2,IF(VALUE($J122)&gt;=2021,1,0))</f>
        <v/>
      </c>
      <c r="L122" s="3">
        <f>IF($K122&gt;=7,"High",IF($K122&gt;=5,"Medium","Low"))</f>
        <v/>
      </c>
      <c r="M122" s="6" t="inlineStr">
        <is>
          <t>Map View</t>
        </is>
      </c>
      <c r="N122" s="7" t="inlineStr">
        <is>
          <t>New</t>
        </is>
      </c>
      <c r="O122" s="7" t="inlineStr"/>
      <c r="P122" s="7" t="inlineStr"/>
      <c r="Q122" s="7" t="inlineStr"/>
      <c r="R122" s="7" t="inlineStr"/>
    </row>
    <row r="123">
      <c r="A123" s="3" t="inlineStr">
        <is>
          <t>Sonipat</t>
        </is>
      </c>
      <c r="B123" s="3" t="inlineStr">
        <is>
          <t>CLU/ST-3889A</t>
        </is>
      </c>
      <c r="C123" s="3" t="inlineStr">
        <is>
          <t>ANJANA GUPTA</t>
        </is>
      </c>
      <c r="D123" s="3" t="inlineStr">
        <is>
          <t>Jakhauli</t>
        </is>
      </c>
      <c r="E123" s="3" t="inlineStr">
        <is>
          <t>Farm house</t>
        </is>
      </c>
      <c r="F123" s="3" t="inlineStr">
        <is>
          <t>Farmhouse</t>
        </is>
      </c>
      <c r="G123" s="4" t="n">
        <v>8043</v>
      </c>
      <c r="H123" s="5" t="n">
        <v>1.987466826131865</v>
      </c>
      <c r="I123" s="3" t="inlineStr">
        <is>
          <t>13/03/2025</t>
        </is>
      </c>
      <c r="J123" s="3" t="inlineStr">
        <is>
          <t>2025</t>
        </is>
      </c>
      <c r="K123" s="3">
        <f>IF($F123="Hotel",5,IF($F123="Motel",4,IF($F123="Resort",4,IF($F123="Amusement",4,IF($F123="Banquet",3,2)))))+IF($H123&gt;=4,2,IF($H123&gt;=2,1,0))+IF(VALUE($J123)&gt;=2024,2,IF(VALUE($J123)&gt;=2021,1,0))</f>
        <v/>
      </c>
      <c r="L123" s="3">
        <f>IF($K123&gt;=7,"High",IF($K123&gt;=5,"Medium","Low"))</f>
        <v/>
      </c>
      <c r="M123" s="6" t="inlineStr">
        <is>
          <t>Map View</t>
        </is>
      </c>
      <c r="N123" s="7" t="inlineStr">
        <is>
          <t>New</t>
        </is>
      </c>
      <c r="O123" s="7" t="inlineStr"/>
      <c r="P123" s="7" t="inlineStr"/>
      <c r="Q123" s="7" t="inlineStr"/>
      <c r="R123" s="7" t="inlineStr"/>
    </row>
    <row r="124">
      <c r="A124" s="3" t="inlineStr">
        <is>
          <t>Sonipat</t>
        </is>
      </c>
      <c r="B124" s="3" t="inlineStr">
        <is>
          <t>CLU/ST-3979A</t>
        </is>
      </c>
      <c r="C124" s="3" t="inlineStr">
        <is>
          <t>Sh. Anuj Gupta</t>
        </is>
      </c>
      <c r="D124" s="3" t="inlineStr">
        <is>
          <t>Janti Khurd</t>
        </is>
      </c>
      <c r="E124" s="3" t="inlineStr">
        <is>
          <t>Farm house</t>
        </is>
      </c>
      <c r="F124" s="3" t="inlineStr">
        <is>
          <t>Farmhouse</t>
        </is>
      </c>
      <c r="G124" s="4" t="n">
        <v>4249.1</v>
      </c>
      <c r="H124" s="5" t="n">
        <v>1.049974548168209</v>
      </c>
      <c r="I124" s="3" t="inlineStr">
        <is>
          <t>25/04/2025</t>
        </is>
      </c>
      <c r="J124" s="3" t="inlineStr">
        <is>
          <t>2025</t>
        </is>
      </c>
      <c r="K124" s="3">
        <f>IF($F124="Hotel",5,IF($F124="Motel",4,IF($F124="Resort",4,IF($F124="Amusement",4,IF($F124="Banquet",3,2)))))+IF($H124&gt;=4,2,IF($H124&gt;=2,1,0))+IF(VALUE($J124)&gt;=2024,2,IF(VALUE($J124)&gt;=2021,1,0))</f>
        <v/>
      </c>
      <c r="L124" s="3">
        <f>IF($K124&gt;=7,"High",IF($K124&gt;=5,"Medium","Low"))</f>
        <v/>
      </c>
      <c r="M124" s="6" t="inlineStr">
        <is>
          <t>Map View</t>
        </is>
      </c>
      <c r="N124" s="7" t="inlineStr">
        <is>
          <t>New</t>
        </is>
      </c>
      <c r="O124" s="7" t="inlineStr"/>
      <c r="P124" s="7" t="inlineStr"/>
      <c r="Q124" s="7" t="inlineStr"/>
      <c r="R124" s="7" t="inlineStr"/>
    </row>
    <row r="125">
      <c r="A125" s="3" t="inlineStr">
        <is>
          <t>Sonipat</t>
        </is>
      </c>
      <c r="B125" s="3" t="inlineStr">
        <is>
          <t>CLU/ST-3773A</t>
        </is>
      </c>
      <c r="C125" s="3" t="inlineStr">
        <is>
          <t>Pawan Dahiya</t>
        </is>
      </c>
      <c r="D125" s="3" t="inlineStr">
        <is>
          <t>Rohat</t>
        </is>
      </c>
      <c r="E125" s="3" t="inlineStr">
        <is>
          <t>Banquet Hall</t>
        </is>
      </c>
      <c r="F125" s="3" t="inlineStr">
        <is>
          <t>Banquet</t>
        </is>
      </c>
      <c r="G125" s="4" t="n">
        <v>12140.5</v>
      </c>
      <c r="H125" s="5" t="n">
        <v>2.999980231586959</v>
      </c>
      <c r="I125" s="3" t="inlineStr">
        <is>
          <t>28/06/2024</t>
        </is>
      </c>
      <c r="J125" s="3" t="inlineStr">
        <is>
          <t>2024</t>
        </is>
      </c>
      <c r="K125" s="3">
        <f>IF($F125="Hotel",5,IF($F125="Motel",4,IF($F125="Resort",4,IF($F125="Amusement",4,IF($F125="Banquet",3,2)))))+IF($H125&gt;=4,2,IF($H125&gt;=2,1,0))+IF(VALUE($J125)&gt;=2024,2,IF(VALUE($J125)&gt;=2021,1,0))</f>
        <v/>
      </c>
      <c r="L125" s="3">
        <f>IF($K125&gt;=7,"High",IF($K125&gt;=5,"Medium","Low"))</f>
        <v/>
      </c>
      <c r="M125" s="6" t="inlineStr">
        <is>
          <t>Map View</t>
        </is>
      </c>
      <c r="N125" s="7" t="inlineStr">
        <is>
          <t>New</t>
        </is>
      </c>
      <c r="O125" s="7" t="inlineStr"/>
      <c r="P125" s="7" t="inlineStr"/>
      <c r="Q125" s="7" t="inlineStr"/>
      <c r="R125" s="7" t="inlineStr"/>
    </row>
    <row r="126">
      <c r="A126" s="3" t="inlineStr">
        <is>
          <t>Sonipat</t>
        </is>
      </c>
      <c r="B126" s="3" t="inlineStr">
        <is>
          <t>CLU/ST-3807A</t>
        </is>
      </c>
      <c r="C126" s="3" t="inlineStr">
        <is>
          <t>SH RAHUL LUTHRA</t>
        </is>
      </c>
      <c r="D126" s="3" t="inlineStr">
        <is>
          <t>Janti Khurd</t>
        </is>
      </c>
      <c r="E126" s="3" t="inlineStr">
        <is>
          <t>Farm house</t>
        </is>
      </c>
      <c r="F126" s="3" t="inlineStr">
        <is>
          <t>Farmhouse</t>
        </is>
      </c>
      <c r="G126" s="4" t="n">
        <v>10251.9</v>
      </c>
      <c r="H126" s="5" t="n">
        <v>2.533297420716308</v>
      </c>
      <c r="I126" s="3" t="inlineStr">
        <is>
          <t>17/11/2024</t>
        </is>
      </c>
      <c r="J126" s="3" t="inlineStr">
        <is>
          <t>2024</t>
        </is>
      </c>
      <c r="K126" s="3">
        <f>IF($F126="Hotel",5,IF($F126="Motel",4,IF($F126="Resort",4,IF($F126="Amusement",4,IF($F126="Banquet",3,2)))))+IF($H126&gt;=4,2,IF($H126&gt;=2,1,0))+IF(VALUE($J126)&gt;=2024,2,IF(VALUE($J126)&gt;=2021,1,0))</f>
        <v/>
      </c>
      <c r="L126" s="3">
        <f>IF($K126&gt;=7,"High",IF($K126&gt;=5,"Medium","Low"))</f>
        <v/>
      </c>
      <c r="M126" s="6" t="inlineStr">
        <is>
          <t>Map View</t>
        </is>
      </c>
      <c r="N126" s="7" t="inlineStr">
        <is>
          <t>New</t>
        </is>
      </c>
      <c r="O126" s="7" t="inlineStr"/>
      <c r="P126" s="7" t="inlineStr"/>
      <c r="Q126" s="7" t="inlineStr"/>
      <c r="R126" s="7" t="inlineStr"/>
    </row>
    <row r="127">
      <c r="A127" s="3" t="inlineStr">
        <is>
          <t>Sonipat</t>
        </is>
      </c>
      <c r="B127" s="3" t="inlineStr">
        <is>
          <t>CLU/ST-3853A</t>
        </is>
      </c>
      <c r="C127" s="3" t="inlineStr">
        <is>
          <t>Sh. Amit Goyal &amp; Vineet Goyal</t>
        </is>
      </c>
      <c r="D127" s="3" t="inlineStr">
        <is>
          <t>Janti Khurd</t>
        </is>
      </c>
      <c r="E127" s="3" t="inlineStr">
        <is>
          <t>Farm house</t>
        </is>
      </c>
      <c r="F127" s="3" t="inlineStr">
        <is>
          <t>Farmhouse</t>
        </is>
      </c>
      <c r="G127" s="4" t="n">
        <v>10066.4</v>
      </c>
      <c r="H127" s="5" t="n">
        <v>2.487459412976975</v>
      </c>
      <c r="I127" s="3" t="inlineStr">
        <is>
          <t>23/10/2024</t>
        </is>
      </c>
      <c r="J127" s="3" t="inlineStr">
        <is>
          <t>2024</t>
        </is>
      </c>
      <c r="K127" s="3">
        <f>IF($F127="Hotel",5,IF($F127="Motel",4,IF($F127="Resort",4,IF($F127="Amusement",4,IF($F127="Banquet",3,2)))))+IF($H127&gt;=4,2,IF($H127&gt;=2,1,0))+IF(VALUE($J127)&gt;=2024,2,IF(VALUE($J127)&gt;=2021,1,0))</f>
        <v/>
      </c>
      <c r="L127" s="3">
        <f>IF($K127&gt;=7,"High",IF($K127&gt;=5,"Medium","Low"))</f>
        <v/>
      </c>
      <c r="M127" s="6" t="inlineStr">
        <is>
          <t>Map View</t>
        </is>
      </c>
      <c r="N127" s="7" t="inlineStr">
        <is>
          <t>New</t>
        </is>
      </c>
      <c r="O127" s="7" t="inlineStr"/>
      <c r="P127" s="7" t="inlineStr"/>
      <c r="Q127" s="7" t="inlineStr"/>
      <c r="R127" s="7" t="inlineStr"/>
    </row>
    <row r="128">
      <c r="A128" s="3" t="inlineStr">
        <is>
          <t>Sonipat</t>
        </is>
      </c>
      <c r="B128" s="3" t="inlineStr">
        <is>
          <t>CLU/ST-3863A</t>
        </is>
      </c>
      <c r="C128" s="3" t="inlineStr">
        <is>
          <t>Delhi Chartering and shipping Services Pvt. Ltd</t>
        </is>
      </c>
      <c r="D128" s="3" t="inlineStr">
        <is>
          <t>Janti Khurd</t>
        </is>
      </c>
      <c r="E128" s="3" t="inlineStr">
        <is>
          <t>Farm house</t>
        </is>
      </c>
      <c r="F128" s="3" t="inlineStr">
        <is>
          <t>Farmhouse</t>
        </is>
      </c>
      <c r="G128" s="4" t="n">
        <v>7764.8</v>
      </c>
      <c r="H128" s="5" t="n">
        <v>1.918722169781015</v>
      </c>
      <c r="I128" s="3" t="inlineStr">
        <is>
          <t>05/12/2024</t>
        </is>
      </c>
      <c r="J128" s="3" t="inlineStr">
        <is>
          <t>2024</t>
        </is>
      </c>
      <c r="K128" s="3">
        <f>IF($F128="Hotel",5,IF($F128="Motel",4,IF($F128="Resort",4,IF($F128="Amusement",4,IF($F128="Banquet",3,2)))))+IF($H128&gt;=4,2,IF($H128&gt;=2,1,0))+IF(VALUE($J128)&gt;=2024,2,IF(VALUE($J128)&gt;=2021,1,0))</f>
        <v/>
      </c>
      <c r="L128" s="3">
        <f>IF($K128&gt;=7,"High",IF($K128&gt;=5,"Medium","Low"))</f>
        <v/>
      </c>
      <c r="M128" s="6" t="inlineStr">
        <is>
          <t>Map View</t>
        </is>
      </c>
      <c r="N128" s="7" t="inlineStr">
        <is>
          <t>New</t>
        </is>
      </c>
      <c r="O128" s="7" t="inlineStr"/>
      <c r="P128" s="7" t="inlineStr"/>
      <c r="Q128" s="7" t="inlineStr"/>
      <c r="R128" s="7" t="inlineStr"/>
    </row>
    <row r="129">
      <c r="A129" s="3" t="inlineStr">
        <is>
          <t>Sonipat</t>
        </is>
      </c>
      <c r="B129" s="3" t="inlineStr">
        <is>
          <t>CLU/ST-3796A</t>
        </is>
      </c>
      <c r="C129" s="3" t="inlineStr">
        <is>
          <t>Sh Anil Gupta &amp; Smt Kusum Gupta</t>
        </is>
      </c>
      <c r="D129" s="3" t="inlineStr">
        <is>
          <t>Ladpur</t>
        </is>
      </c>
      <c r="E129" s="3" t="inlineStr">
        <is>
          <t>Non Star Hotel</t>
        </is>
      </c>
      <c r="F129" s="3" t="inlineStr">
        <is>
          <t>Hotel</t>
        </is>
      </c>
      <c r="G129" s="4" t="n">
        <v>5029.1</v>
      </c>
      <c r="H129" s="5" t="n">
        <v>1.242716575320125</v>
      </c>
      <c r="I129" s="3" t="inlineStr">
        <is>
          <t>12/03/2024</t>
        </is>
      </c>
      <c r="J129" s="3" t="inlineStr">
        <is>
          <t>2024</t>
        </is>
      </c>
      <c r="K129" s="3">
        <f>IF($F129="Hotel",5,IF($F129="Motel",4,IF($F129="Resort",4,IF($F129="Amusement",4,IF($F129="Banquet",3,2)))))+IF($H129&gt;=4,2,IF($H129&gt;=2,1,0))+IF(VALUE($J129)&gt;=2024,2,IF(VALUE($J129)&gt;=2021,1,0))</f>
        <v/>
      </c>
      <c r="L129" s="3">
        <f>IF($K129&gt;=7,"High",IF($K129&gt;=5,"Medium","Low"))</f>
        <v/>
      </c>
      <c r="M129" s="6" t="inlineStr">
        <is>
          <t>Map View</t>
        </is>
      </c>
      <c r="N129" s="7" t="inlineStr">
        <is>
          <t>New</t>
        </is>
      </c>
      <c r="O129" s="7" t="inlineStr"/>
      <c r="P129" s="7" t="inlineStr"/>
      <c r="Q129" s="7" t="inlineStr"/>
      <c r="R129" s="7" t="inlineStr"/>
    </row>
    <row r="130">
      <c r="A130" s="3" t="inlineStr">
        <is>
          <t>Sonipat</t>
        </is>
      </c>
      <c r="B130" s="3" t="inlineStr">
        <is>
          <t>CLU/ST-3445A</t>
        </is>
      </c>
      <c r="C130" s="3" t="inlineStr">
        <is>
          <t>ANIL KUMAR, SUNIL KUMAR &amp; ANKIT</t>
        </is>
      </c>
      <c r="D130" s="3" t="inlineStr">
        <is>
          <t>Ganaur</t>
        </is>
      </c>
      <c r="E130" s="3" t="inlineStr">
        <is>
          <t>Banquet Hall</t>
        </is>
      </c>
      <c r="F130" s="3" t="inlineStr">
        <is>
          <t>Banquet</t>
        </is>
      </c>
      <c r="G130" s="4" t="n">
        <v>20917.01</v>
      </c>
      <c r="H130" s="5" t="n">
        <v>5.168701165842158</v>
      </c>
      <c r="I130" s="3" t="inlineStr">
        <is>
          <t>23/02/2023</t>
        </is>
      </c>
      <c r="J130" s="3" t="inlineStr">
        <is>
          <t>2023</t>
        </is>
      </c>
      <c r="K130" s="3">
        <f>IF($F130="Hotel",5,IF($F130="Motel",4,IF($F130="Resort",4,IF($F130="Amusement",4,IF($F130="Banquet",3,2)))))+IF($H130&gt;=4,2,IF($H130&gt;=2,1,0))+IF(VALUE($J130)&gt;=2024,2,IF(VALUE($J130)&gt;=2021,1,0))</f>
        <v/>
      </c>
      <c r="L130" s="3">
        <f>IF($K130&gt;=7,"High",IF($K130&gt;=5,"Medium","Low"))</f>
        <v/>
      </c>
      <c r="M130" s="6" t="inlineStr">
        <is>
          <t>Map View</t>
        </is>
      </c>
      <c r="N130" s="7" t="inlineStr">
        <is>
          <t>New</t>
        </is>
      </c>
      <c r="O130" s="7" t="inlineStr"/>
      <c r="P130" s="7" t="inlineStr"/>
      <c r="Q130" s="7" t="inlineStr"/>
      <c r="R130" s="7" t="inlineStr"/>
    </row>
    <row r="131">
      <c r="A131" s="3" t="inlineStr">
        <is>
          <t>Sonipat</t>
        </is>
      </c>
      <c r="B131" s="3" t="inlineStr">
        <is>
          <t>CLU/ST-3559A</t>
        </is>
      </c>
      <c r="C131" s="3" t="inlineStr">
        <is>
          <t>Sh Joney and Smt Renu</t>
        </is>
      </c>
      <c r="D131" s="3" t="inlineStr">
        <is>
          <t>Murthal</t>
        </is>
      </c>
      <c r="E131" s="3" t="inlineStr">
        <is>
          <t>Farm house</t>
        </is>
      </c>
      <c r="F131" s="3" t="inlineStr">
        <is>
          <t>Farmhouse</t>
        </is>
      </c>
      <c r="G131" s="4" t="n">
        <v>13936.3</v>
      </c>
      <c r="H131" s="5" t="n">
        <v>3.443731683329791</v>
      </c>
      <c r="I131" s="3" t="inlineStr">
        <is>
          <t>20/04/2023</t>
        </is>
      </c>
      <c r="J131" s="3" t="inlineStr">
        <is>
          <t>2023</t>
        </is>
      </c>
      <c r="K131" s="3">
        <f>IF($F131="Hotel",5,IF($F131="Motel",4,IF($F131="Resort",4,IF($F131="Amusement",4,IF($F131="Banquet",3,2)))))+IF($H131&gt;=4,2,IF($H131&gt;=2,1,0))+IF(VALUE($J131)&gt;=2024,2,IF(VALUE($J131)&gt;=2021,1,0))</f>
        <v/>
      </c>
      <c r="L131" s="3">
        <f>IF($K131&gt;=7,"High",IF($K131&gt;=5,"Medium","Low"))</f>
        <v/>
      </c>
      <c r="M131" s="6" t="inlineStr">
        <is>
          <t>Map View</t>
        </is>
      </c>
      <c r="N131" s="7" t="inlineStr">
        <is>
          <t>New</t>
        </is>
      </c>
      <c r="O131" s="7" t="inlineStr"/>
      <c r="P131" s="7" t="inlineStr"/>
      <c r="Q131" s="7" t="inlineStr"/>
      <c r="R131" s="7" t="inlineStr"/>
    </row>
    <row r="132">
      <c r="A132" s="3" t="inlineStr">
        <is>
          <t>Sonipat</t>
        </is>
      </c>
      <c r="B132" s="3" t="inlineStr">
        <is>
          <t>CLU/ST-3721A</t>
        </is>
      </c>
      <c r="C132" s="3" t="inlineStr">
        <is>
          <t>AMIT MANGAL</t>
        </is>
      </c>
      <c r="D132" s="3" t="inlineStr">
        <is>
          <t>Rasoi</t>
        </is>
      </c>
      <c r="E132" s="3" t="inlineStr">
        <is>
          <t>Farm house</t>
        </is>
      </c>
      <c r="F132" s="3" t="inlineStr">
        <is>
          <t>Farmhouse</t>
        </is>
      </c>
      <c r="G132" s="4" t="n">
        <v>5817.3</v>
      </c>
      <c r="H132" s="5" t="n">
        <v>1.437484864808765</v>
      </c>
      <c r="I132" s="3" t="inlineStr">
        <is>
          <t>18/12/2023</t>
        </is>
      </c>
      <c r="J132" s="3" t="inlineStr">
        <is>
          <t>2023</t>
        </is>
      </c>
      <c r="K132" s="3">
        <f>IF($F132="Hotel",5,IF($F132="Motel",4,IF($F132="Resort",4,IF($F132="Amusement",4,IF($F132="Banquet",3,2)))))+IF($H132&gt;=4,2,IF($H132&gt;=2,1,0))+IF(VALUE($J132)&gt;=2024,2,IF(VALUE($J132)&gt;=2021,1,0))</f>
        <v/>
      </c>
      <c r="L132" s="3">
        <f>IF($K132&gt;=7,"High",IF($K132&gt;=5,"Medium","Low"))</f>
        <v/>
      </c>
      <c r="M132" s="6" t="inlineStr">
        <is>
          <t>Map View</t>
        </is>
      </c>
      <c r="N132" s="7" t="inlineStr">
        <is>
          <t>New</t>
        </is>
      </c>
      <c r="O132" s="7" t="inlineStr"/>
      <c r="P132" s="7" t="inlineStr"/>
      <c r="Q132" s="7" t="inlineStr"/>
      <c r="R132" s="7" t="inlineStr"/>
    </row>
    <row r="133">
      <c r="A133" s="3" t="inlineStr">
        <is>
          <t>Sonipat</t>
        </is>
      </c>
      <c r="B133" s="3" t="inlineStr">
        <is>
          <t>CLU/ST-3606A</t>
        </is>
      </c>
      <c r="C133" s="3" t="inlineStr">
        <is>
          <t>SH NUGRAJ JAIN</t>
        </is>
      </c>
      <c r="D133" s="3" t="inlineStr">
        <is>
          <t>Janti Khurd</t>
        </is>
      </c>
      <c r="E133" s="3" t="inlineStr">
        <is>
          <t>Farm house</t>
        </is>
      </c>
      <c r="F133" s="3" t="inlineStr">
        <is>
          <t>Farmhouse</t>
        </is>
      </c>
      <c r="G133" s="4" t="n">
        <v>4274.45</v>
      </c>
      <c r="H133" s="5" t="n">
        <v>1.056238664050647</v>
      </c>
      <c r="I133" s="3" t="inlineStr">
        <is>
          <t>04/08/2023</t>
        </is>
      </c>
      <c r="J133" s="3" t="inlineStr">
        <is>
          <t>2023</t>
        </is>
      </c>
      <c r="K133" s="3">
        <f>IF($F133="Hotel",5,IF($F133="Motel",4,IF($F133="Resort",4,IF($F133="Amusement",4,IF($F133="Banquet",3,2)))))+IF($H133&gt;=4,2,IF($H133&gt;=2,1,0))+IF(VALUE($J133)&gt;=2024,2,IF(VALUE($J133)&gt;=2021,1,0))</f>
        <v/>
      </c>
      <c r="L133" s="3">
        <f>IF($K133&gt;=7,"High",IF($K133&gt;=5,"Medium","Low"))</f>
        <v/>
      </c>
      <c r="M133" s="6" t="inlineStr">
        <is>
          <t>Map View</t>
        </is>
      </c>
      <c r="N133" s="7" t="inlineStr">
        <is>
          <t>New</t>
        </is>
      </c>
      <c r="O133" s="7" t="inlineStr"/>
      <c r="P133" s="7" t="inlineStr"/>
      <c r="Q133" s="7" t="inlineStr"/>
      <c r="R133" s="7" t="inlineStr"/>
    </row>
    <row r="134">
      <c r="A134" s="3" t="inlineStr">
        <is>
          <t>Sonipat</t>
        </is>
      </c>
      <c r="B134" s="3" t="inlineStr">
        <is>
          <t>CLU/ST-3617A</t>
        </is>
      </c>
      <c r="C134" s="3" t="inlineStr">
        <is>
          <t>Smt Suman Makhija</t>
        </is>
      </c>
      <c r="D134" s="3" t="inlineStr">
        <is>
          <t>Janti Khurd</t>
        </is>
      </c>
      <c r="E134" s="3" t="inlineStr">
        <is>
          <t>Farm house</t>
        </is>
      </c>
      <c r="F134" s="3" t="inlineStr">
        <is>
          <t>Farmhouse</t>
        </is>
      </c>
      <c r="G134" s="4" t="n">
        <v>4198.6</v>
      </c>
      <c r="H134" s="5" t="n">
        <v>1.037495737435938</v>
      </c>
      <c r="I134" s="3" t="inlineStr">
        <is>
          <t>21/07/2023</t>
        </is>
      </c>
      <c r="J134" s="3" t="inlineStr">
        <is>
          <t>2023</t>
        </is>
      </c>
      <c r="K134" s="3">
        <f>IF($F134="Hotel",5,IF($F134="Motel",4,IF($F134="Resort",4,IF($F134="Amusement",4,IF($F134="Banquet",3,2)))))+IF($H134&gt;=4,2,IF($H134&gt;=2,1,0))+IF(VALUE($J134)&gt;=2024,2,IF(VALUE($J134)&gt;=2021,1,0))</f>
        <v/>
      </c>
      <c r="L134" s="3">
        <f>IF($K134&gt;=7,"High",IF($K134&gt;=5,"Medium","Low"))</f>
        <v/>
      </c>
      <c r="M134" s="6" t="inlineStr">
        <is>
          <t>Map View</t>
        </is>
      </c>
      <c r="N134" s="7" t="inlineStr">
        <is>
          <t>New</t>
        </is>
      </c>
      <c r="O134" s="7" t="inlineStr"/>
      <c r="P134" s="7" t="inlineStr"/>
      <c r="Q134" s="7" t="inlineStr"/>
      <c r="R134" s="7" t="inlineStr"/>
    </row>
    <row r="135">
      <c r="A135" s="3" t="inlineStr">
        <is>
          <t>Sonipat</t>
        </is>
      </c>
      <c r="B135" s="3" t="inlineStr">
        <is>
          <t>CLU/ST-3695A</t>
        </is>
      </c>
      <c r="C135" s="3" t="inlineStr">
        <is>
          <t>Sham Sunder Kapur</t>
        </is>
      </c>
      <c r="D135" s="3" t="inlineStr">
        <is>
          <t>Janti Khurd</t>
        </is>
      </c>
      <c r="E135" s="3" t="inlineStr">
        <is>
          <t>Farm house</t>
        </is>
      </c>
      <c r="F135" s="3" t="inlineStr">
        <is>
          <t>Farmhouse</t>
        </is>
      </c>
      <c r="G135" s="4" t="n">
        <v>4122.7</v>
      </c>
      <c r="H135" s="5" t="n">
        <v>1.018740455563078</v>
      </c>
      <c r="I135" s="3" t="inlineStr">
        <is>
          <t>16/10/2023</t>
        </is>
      </c>
      <c r="J135" s="3" t="inlineStr">
        <is>
          <t>2023</t>
        </is>
      </c>
      <c r="K135" s="3">
        <f>IF($F135="Hotel",5,IF($F135="Motel",4,IF($F135="Resort",4,IF($F135="Amusement",4,IF($F135="Banquet",3,2)))))+IF($H135&gt;=4,2,IF($H135&gt;=2,1,0))+IF(VALUE($J135)&gt;=2024,2,IF(VALUE($J135)&gt;=2021,1,0))</f>
        <v/>
      </c>
      <c r="L135" s="3">
        <f>IF($K135&gt;=7,"High",IF($K135&gt;=5,"Medium","Low"))</f>
        <v/>
      </c>
      <c r="M135" s="6" t="inlineStr">
        <is>
          <t>Map View</t>
        </is>
      </c>
      <c r="N135" s="7" t="inlineStr">
        <is>
          <t>New</t>
        </is>
      </c>
      <c r="O135" s="7" t="inlineStr"/>
      <c r="P135" s="7" t="inlineStr"/>
      <c r="Q135" s="7" t="inlineStr"/>
      <c r="R135" s="7" t="inlineStr"/>
    </row>
    <row r="136">
      <c r="A136" s="3" t="inlineStr">
        <is>
          <t>Sonipat</t>
        </is>
      </c>
      <c r="B136" s="3" t="inlineStr">
        <is>
          <t>CLU/ST-3690A</t>
        </is>
      </c>
      <c r="C136" s="3" t="inlineStr">
        <is>
          <t>Sh Mahabir</t>
        </is>
      </c>
      <c r="D136" s="3" t="inlineStr">
        <is>
          <t>Chirsami</t>
        </is>
      </c>
      <c r="E136" s="3" t="inlineStr">
        <is>
          <t>Farm house</t>
        </is>
      </c>
      <c r="F136" s="3" t="inlineStr">
        <is>
          <t>Farmhouse</t>
        </is>
      </c>
      <c r="G136" s="4" t="n">
        <v>4097.4</v>
      </c>
      <c r="H136" s="5" t="n">
        <v>1.012488694938792</v>
      </c>
      <c r="I136" s="3" t="inlineStr">
        <is>
          <t>18/10/2023</t>
        </is>
      </c>
      <c r="J136" s="3" t="inlineStr">
        <is>
          <t>2023</t>
        </is>
      </c>
      <c r="K136" s="3">
        <f>IF($F136="Hotel",5,IF($F136="Motel",4,IF($F136="Resort",4,IF($F136="Amusement",4,IF($F136="Banquet",3,2)))))+IF($H136&gt;=4,2,IF($H136&gt;=2,1,0))+IF(VALUE($J136)&gt;=2024,2,IF(VALUE($J136)&gt;=2021,1,0))</f>
        <v/>
      </c>
      <c r="L136" s="3">
        <f>IF($K136&gt;=7,"High",IF($K136&gt;=5,"Medium","Low"))</f>
        <v/>
      </c>
      <c r="M136" s="6" t="inlineStr">
        <is>
          <t>Map View</t>
        </is>
      </c>
      <c r="N136" s="7" t="inlineStr">
        <is>
          <t>New</t>
        </is>
      </c>
      <c r="O136" s="7" t="inlineStr"/>
      <c r="P136" s="7" t="inlineStr"/>
      <c r="Q136" s="7" t="inlineStr"/>
      <c r="R136" s="7" t="inlineStr"/>
    </row>
    <row r="137">
      <c r="A137" s="3" t="inlineStr">
        <is>
          <t>Sonipat</t>
        </is>
      </c>
      <c r="B137" s="3" t="inlineStr">
        <is>
          <t>CLU/ST-3459A</t>
        </is>
      </c>
      <c r="C137" s="3" t="inlineStr">
        <is>
          <t>JITENDER SINGH &amp; SUNITA KUMARI</t>
        </is>
      </c>
      <c r="D137" s="3" t="inlineStr">
        <is>
          <t>Khandrai</t>
        </is>
      </c>
      <c r="E137" s="3" t="inlineStr">
        <is>
          <t>Banquet Hall</t>
        </is>
      </c>
      <c r="F137" s="3" t="inlineStr">
        <is>
          <t>Banquet</t>
        </is>
      </c>
      <c r="G137" s="4" t="n">
        <v>10236.2</v>
      </c>
      <c r="H137" s="5" t="n">
        <v>2.529417869656969</v>
      </c>
      <c r="I137" s="3" t="inlineStr">
        <is>
          <t>29/11/2022</t>
        </is>
      </c>
      <c r="J137" s="3" t="inlineStr">
        <is>
          <t>2022</t>
        </is>
      </c>
      <c r="K137" s="3">
        <f>IF($F137="Hotel",5,IF($F137="Motel",4,IF($F137="Resort",4,IF($F137="Amusement",4,IF($F137="Banquet",3,2)))))+IF($H137&gt;=4,2,IF($H137&gt;=2,1,0))+IF(VALUE($J137)&gt;=2024,2,IF(VALUE($J137)&gt;=2021,1,0))</f>
        <v/>
      </c>
      <c r="L137" s="3">
        <f>IF($K137&gt;=7,"High",IF($K137&gt;=5,"Medium","Low"))</f>
        <v/>
      </c>
      <c r="M137" s="6" t="inlineStr">
        <is>
          <t>Map View</t>
        </is>
      </c>
      <c r="N137" s="7" t="inlineStr">
        <is>
          <t>New</t>
        </is>
      </c>
      <c r="O137" s="7" t="inlineStr"/>
      <c r="P137" s="7" t="inlineStr"/>
      <c r="Q137" s="7" t="inlineStr"/>
      <c r="R137" s="7" t="inlineStr"/>
    </row>
    <row r="138">
      <c r="A138" s="3" t="inlineStr">
        <is>
          <t>Sonipat</t>
        </is>
      </c>
      <c r="B138" s="3" t="inlineStr">
        <is>
          <t>CLU/ST-2294C</t>
        </is>
      </c>
      <c r="C138" s="3" t="inlineStr">
        <is>
          <t>Smt. Kanta Bhatia Wife of Sh R K Bhatia</t>
        </is>
      </c>
      <c r="D138" s="3" t="inlineStr">
        <is>
          <t>Larsauli</t>
        </is>
      </c>
      <c r="E138" s="3" t="inlineStr">
        <is>
          <t>Motel cum Restaurant</t>
        </is>
      </c>
      <c r="F138" s="3" t="inlineStr">
        <is>
          <t>Motel</t>
        </is>
      </c>
      <c r="G138" s="4" t="n">
        <v>1936.6</v>
      </c>
      <c r="H138" s="5" t="n">
        <v>0.4785438586953835</v>
      </c>
      <c r="I138" s="3" t="inlineStr">
        <is>
          <t>08/04/2022</t>
        </is>
      </c>
      <c r="J138" s="3" t="inlineStr">
        <is>
          <t>2022</t>
        </is>
      </c>
      <c r="K138" s="3">
        <f>IF($F138="Hotel",5,IF($F138="Motel",4,IF($F138="Resort",4,IF($F138="Amusement",4,IF($F138="Banquet",3,2)))))+IF($H138&gt;=4,2,IF($H138&gt;=2,1,0))+IF(VALUE($J138)&gt;=2024,2,IF(VALUE($J138)&gt;=2021,1,0))</f>
        <v/>
      </c>
      <c r="L138" s="3">
        <f>IF($K138&gt;=7,"High",IF($K138&gt;=5,"Medium","Low"))</f>
        <v/>
      </c>
      <c r="M138" s="6" t="inlineStr">
        <is>
          <t>Map View</t>
        </is>
      </c>
      <c r="N138" s="7" t="inlineStr">
        <is>
          <t>New</t>
        </is>
      </c>
      <c r="O138" s="7" t="inlineStr"/>
      <c r="P138" s="7" t="inlineStr"/>
      <c r="Q138" s="7" t="inlineStr"/>
      <c r="R138" s="7" t="inlineStr"/>
    </row>
    <row r="139">
      <c r="A139" s="3" t="inlineStr">
        <is>
          <t>Sonipat</t>
        </is>
      </c>
      <c r="B139" s="3" t="inlineStr">
        <is>
          <t>CLU/ST-2483A</t>
        </is>
      </c>
      <c r="C139" s="3" t="inlineStr">
        <is>
          <t>LATA CHAUDHARY</t>
        </is>
      </c>
      <c r="D139" s="3" t="inlineStr"/>
      <c r="E139" s="3" t="inlineStr">
        <is>
          <t>Amusement Park</t>
        </is>
      </c>
      <c r="F139" s="3" t="inlineStr">
        <is>
          <t>Amusement</t>
        </is>
      </c>
      <c r="G139" s="4" t="n">
        <v>28360</v>
      </c>
      <c r="H139" s="5" t="n">
        <v>7.007902423113229</v>
      </c>
      <c r="I139" s="3" t="inlineStr">
        <is>
          <t>23/07/2021</t>
        </is>
      </c>
      <c r="J139" s="3" t="inlineStr">
        <is>
          <t>2021</t>
        </is>
      </c>
      <c r="K139" s="3">
        <f>IF($F139="Hotel",5,IF($F139="Motel",4,IF($F139="Resort",4,IF($F139="Amusement",4,IF($F139="Banquet",3,2)))))+IF($H139&gt;=4,2,IF($H139&gt;=2,1,0))+IF(VALUE($J139)&gt;=2024,2,IF(VALUE($J139)&gt;=2021,1,0))</f>
        <v/>
      </c>
      <c r="L139" s="3">
        <f>IF($K139&gt;=7,"High",IF($K139&gt;=5,"Medium","Low"))</f>
        <v/>
      </c>
      <c r="M139" s="6" t="inlineStr">
        <is>
          <t>Map View</t>
        </is>
      </c>
      <c r="N139" s="7" t="inlineStr">
        <is>
          <t>New</t>
        </is>
      </c>
      <c r="O139" s="7" t="inlineStr"/>
      <c r="P139" s="7" t="inlineStr"/>
      <c r="Q139" s="7" t="inlineStr"/>
      <c r="R139" s="7" t="inlineStr"/>
    </row>
    <row r="140">
      <c r="A140" s="3" t="inlineStr">
        <is>
          <t>Sonipat</t>
        </is>
      </c>
      <c r="B140" s="3" t="inlineStr">
        <is>
          <t>CLU/ST-2306</t>
        </is>
      </c>
      <c r="C140" s="3" t="inlineStr">
        <is>
          <t>Smt. Bindu W/o Sh. Rakesh</t>
        </is>
      </c>
      <c r="D140" s="3" t="inlineStr">
        <is>
          <t>Gannaur</t>
        </is>
      </c>
      <c r="E140" s="3" t="inlineStr">
        <is>
          <t>Farmhouse</t>
        </is>
      </c>
      <c r="F140" s="3" t="inlineStr">
        <is>
          <t>Farmhouse</t>
        </is>
      </c>
      <c r="G140" s="4" t="n"/>
      <c r="H140" s="5" t="n"/>
      <c r="I140" s="3" t="inlineStr">
        <is>
          <t>18/09/2018</t>
        </is>
      </c>
      <c r="J140" s="3" t="inlineStr">
        <is>
          <t>2018</t>
        </is>
      </c>
      <c r="K140" s="3">
        <f>IF($F140="Hotel",5,IF($F140="Motel",4,IF($F140="Resort",4,IF($F140="Amusement",4,IF($F140="Banquet",3,2)))))+IF($H140&gt;=4,2,IF($H140&gt;=2,1,0))+IF(VALUE($J140)&gt;=2024,2,IF(VALUE($J140)&gt;=2021,1,0))</f>
        <v/>
      </c>
      <c r="L140" s="3">
        <f>IF($K140&gt;=7,"High",IF($K140&gt;=5,"Medium","Low"))</f>
        <v/>
      </c>
      <c r="M140" s="6" t="inlineStr">
        <is>
          <t>Map View</t>
        </is>
      </c>
      <c r="N140" s="7" t="inlineStr">
        <is>
          <t>New</t>
        </is>
      </c>
      <c r="O140" s="7" t="inlineStr"/>
      <c r="P140" s="7" t="inlineStr"/>
      <c r="Q140" s="7" t="inlineStr"/>
      <c r="R140" s="7" t="inlineStr"/>
    </row>
    <row r="141">
      <c r="A141" s="3" t="inlineStr">
        <is>
          <t>Sonipat</t>
        </is>
      </c>
      <c r="B141" s="3" t="inlineStr">
        <is>
          <t>CLU/ST-2483</t>
        </is>
      </c>
      <c r="C141" s="3" t="inlineStr">
        <is>
          <t>Smt. Lata Chaudhary W/o Sh. Vijay Singh</t>
        </is>
      </c>
      <c r="D141" s="3" t="inlineStr">
        <is>
          <t>Gannaur 1A declared around MC, Gannaur</t>
        </is>
      </c>
      <c r="E141" s="3" t="inlineStr">
        <is>
          <t>Recreational, Theme &amp; Amusement Park</t>
        </is>
      </c>
      <c r="F141" s="3" t="inlineStr">
        <is>
          <t>Amusement</t>
        </is>
      </c>
      <c r="G141" s="4" t="n"/>
      <c r="H141" s="5" t="n"/>
      <c r="I141" s="3" t="inlineStr">
        <is>
          <t>26/09/2018</t>
        </is>
      </c>
      <c r="J141" s="3" t="inlineStr">
        <is>
          <t>2018</t>
        </is>
      </c>
      <c r="K141" s="3">
        <f>IF($F141="Hotel",5,IF($F141="Motel",4,IF($F141="Resort",4,IF($F141="Amusement",4,IF($F141="Banquet",3,2)))))+IF($H141&gt;=4,2,IF($H141&gt;=2,1,0))+IF(VALUE($J141)&gt;=2024,2,IF(VALUE($J141)&gt;=2021,1,0))</f>
        <v/>
      </c>
      <c r="L141" s="3">
        <f>IF($K141&gt;=7,"High",IF($K141&gt;=5,"Medium","Low"))</f>
        <v/>
      </c>
      <c r="M141" s="6" t="inlineStr">
        <is>
          <t>Map View</t>
        </is>
      </c>
      <c r="N141" s="7" t="inlineStr">
        <is>
          <t>New</t>
        </is>
      </c>
      <c r="O141" s="7" t="inlineStr"/>
      <c r="P141" s="7" t="inlineStr"/>
      <c r="Q141" s="7" t="inlineStr"/>
      <c r="R141" s="7" t="inlineStr"/>
    </row>
  </sheetData>
  <autoFilter ref="A1:R14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7" customWidth="1" min="10" max="10"/>
    <col width="12" customWidth="1" min="11" max="11"/>
  </cols>
  <sheetData>
    <row r="1">
      <c r="A1" s="8" t="inlineStr">
        <is>
          <t>Hospitality CLU Leads — Summary</t>
        </is>
      </c>
    </row>
    <row r="2">
      <c r="A2" s="9" t="inlineStr">
        <is>
          <t>All figures computed live from the Leads sheet (COUNTIFS/SUMIFS).</t>
        </is>
      </c>
    </row>
    <row r="4">
      <c r="A4" s="10" t="inlineStr">
        <is>
          <t>City</t>
        </is>
      </c>
      <c r="B4" s="10" t="inlineStr">
        <is>
          <t>Leads</t>
        </is>
      </c>
      <c r="C4" s="10" t="inlineStr">
        <is>
          <t>Acres</t>
        </is>
      </c>
      <c r="D4" s="10" t="inlineStr">
        <is>
          <t>Hotel</t>
        </is>
      </c>
      <c r="E4" s="10" t="inlineStr">
        <is>
          <t>Motel</t>
        </is>
      </c>
      <c r="F4" s="10" t="inlineStr">
        <is>
          <t>Resort</t>
        </is>
      </c>
      <c r="G4" s="10" t="inlineStr">
        <is>
          <t>Banquet</t>
        </is>
      </c>
      <c r="H4" s="10" t="inlineStr">
        <is>
          <t>Farmhouse</t>
        </is>
      </c>
      <c r="I4" s="10" t="inlineStr">
        <is>
          <t>Amusement</t>
        </is>
      </c>
      <c r="J4" s="10" t="inlineStr">
        <is>
          <t>Club</t>
        </is>
      </c>
      <c r="K4" s="10" t="inlineStr">
        <is>
          <t>High priority</t>
        </is>
      </c>
    </row>
    <row r="5">
      <c r="A5" s="3" t="inlineStr">
        <is>
          <t>Karnal</t>
        </is>
      </c>
      <c r="B5" s="3">
        <f>COUNTIF(Leads!$A$2:$A$141,$A5)</f>
        <v/>
      </c>
      <c r="C5" s="11">
        <f>SUMIF(Leads!$A$2:$A$141,$A5,Leads!$H$2:$H$141)</f>
        <v/>
      </c>
      <c r="D5" s="3">
        <f>COUNTIFS(Leads!$A$2:$A$141,$A5,Leads!$F$2:$F$141,"Hotel")</f>
        <v/>
      </c>
      <c r="E5" s="3">
        <f>COUNTIFS(Leads!$A$2:$A$141,$A5,Leads!$F$2:$F$141,"Motel")</f>
        <v/>
      </c>
      <c r="F5" s="3">
        <f>COUNTIFS(Leads!$A$2:$A$141,$A5,Leads!$F$2:$F$141,"Resort")</f>
        <v/>
      </c>
      <c r="G5" s="3">
        <f>COUNTIFS(Leads!$A$2:$A$141,$A5,Leads!$F$2:$F$141,"Banquet")</f>
        <v/>
      </c>
      <c r="H5" s="3">
        <f>COUNTIFS(Leads!$A$2:$A$141,$A5,Leads!$F$2:$F$141,"Farmhouse")</f>
        <v/>
      </c>
      <c r="I5" s="3">
        <f>COUNTIFS(Leads!$A$2:$A$141,$A5,Leads!$F$2:$F$141,"Amusement")</f>
        <v/>
      </c>
      <c r="J5" s="3">
        <f>COUNTIFS(Leads!$A$2:$A$141,$A5,Leads!$F$2:$F$141,"Club")</f>
        <v/>
      </c>
      <c r="K5" s="3">
        <f>COUNTIFS(Leads!$A$2:$A$141,$A5,Leads!$L$2:$L$141,"High")</f>
        <v/>
      </c>
    </row>
    <row r="6">
      <c r="A6" s="3" t="inlineStr">
        <is>
          <t>Panipat</t>
        </is>
      </c>
      <c r="B6" s="3">
        <f>COUNTIF(Leads!$A$2:$A$141,$A6)</f>
        <v/>
      </c>
      <c r="C6" s="11">
        <f>SUMIF(Leads!$A$2:$A$141,$A6,Leads!$H$2:$H$141)</f>
        <v/>
      </c>
      <c r="D6" s="3">
        <f>COUNTIFS(Leads!$A$2:$A$141,$A6,Leads!$F$2:$F$141,"Hotel")</f>
        <v/>
      </c>
      <c r="E6" s="3">
        <f>COUNTIFS(Leads!$A$2:$A$141,$A6,Leads!$F$2:$F$141,"Motel")</f>
        <v/>
      </c>
      <c r="F6" s="3">
        <f>COUNTIFS(Leads!$A$2:$A$141,$A6,Leads!$F$2:$F$141,"Resort")</f>
        <v/>
      </c>
      <c r="G6" s="3">
        <f>COUNTIFS(Leads!$A$2:$A$141,$A6,Leads!$F$2:$F$141,"Banquet")</f>
        <v/>
      </c>
      <c r="H6" s="3">
        <f>COUNTIFS(Leads!$A$2:$A$141,$A6,Leads!$F$2:$F$141,"Farmhouse")</f>
        <v/>
      </c>
      <c r="I6" s="3">
        <f>COUNTIFS(Leads!$A$2:$A$141,$A6,Leads!$F$2:$F$141,"Amusement")</f>
        <v/>
      </c>
      <c r="J6" s="3">
        <f>COUNTIFS(Leads!$A$2:$A$141,$A6,Leads!$F$2:$F$141,"Club")</f>
        <v/>
      </c>
      <c r="K6" s="3">
        <f>COUNTIFS(Leads!$A$2:$A$141,$A6,Leads!$L$2:$L$141,"High")</f>
        <v/>
      </c>
    </row>
    <row r="7">
      <c r="A7" s="3" t="inlineStr">
        <is>
          <t>Sonipat</t>
        </is>
      </c>
      <c r="B7" s="3">
        <f>COUNTIF(Leads!$A$2:$A$141,$A7)</f>
        <v/>
      </c>
      <c r="C7" s="11">
        <f>SUMIF(Leads!$A$2:$A$141,$A7,Leads!$H$2:$H$141)</f>
        <v/>
      </c>
      <c r="D7" s="3">
        <f>COUNTIFS(Leads!$A$2:$A$141,$A7,Leads!$F$2:$F$141,"Hotel")</f>
        <v/>
      </c>
      <c r="E7" s="3">
        <f>COUNTIFS(Leads!$A$2:$A$141,$A7,Leads!$F$2:$F$141,"Motel")</f>
        <v/>
      </c>
      <c r="F7" s="3">
        <f>COUNTIFS(Leads!$A$2:$A$141,$A7,Leads!$F$2:$F$141,"Resort")</f>
        <v/>
      </c>
      <c r="G7" s="3">
        <f>COUNTIFS(Leads!$A$2:$A$141,$A7,Leads!$F$2:$F$141,"Banquet")</f>
        <v/>
      </c>
      <c r="H7" s="3">
        <f>COUNTIFS(Leads!$A$2:$A$141,$A7,Leads!$F$2:$F$141,"Farmhouse")</f>
        <v/>
      </c>
      <c r="I7" s="3">
        <f>COUNTIFS(Leads!$A$2:$A$141,$A7,Leads!$F$2:$F$141,"Amusement")</f>
        <v/>
      </c>
      <c r="J7" s="3">
        <f>COUNTIFS(Leads!$A$2:$A$141,$A7,Leads!$F$2:$F$141,"Club")</f>
        <v/>
      </c>
      <c r="K7" s="3">
        <f>COUNTIFS(Leads!$A$2:$A$141,$A7,Leads!$L$2:$L$141,"High")</f>
        <v/>
      </c>
    </row>
    <row r="8">
      <c r="A8" s="3" t="inlineStr">
        <is>
          <t>Rohtak</t>
        </is>
      </c>
      <c r="B8" s="3">
        <f>COUNTIF(Leads!$A$2:$A$141,$A8)</f>
        <v/>
      </c>
      <c r="C8" s="11">
        <f>SUMIF(Leads!$A$2:$A$141,$A8,Leads!$H$2:$H$141)</f>
        <v/>
      </c>
      <c r="D8" s="3">
        <f>COUNTIFS(Leads!$A$2:$A$141,$A8,Leads!$F$2:$F$141,"Hotel")</f>
        <v/>
      </c>
      <c r="E8" s="3">
        <f>COUNTIFS(Leads!$A$2:$A$141,$A8,Leads!$F$2:$F$141,"Motel")</f>
        <v/>
      </c>
      <c r="F8" s="3">
        <f>COUNTIFS(Leads!$A$2:$A$141,$A8,Leads!$F$2:$F$141,"Resort")</f>
        <v/>
      </c>
      <c r="G8" s="3">
        <f>COUNTIFS(Leads!$A$2:$A$141,$A8,Leads!$F$2:$F$141,"Banquet")</f>
        <v/>
      </c>
      <c r="H8" s="3">
        <f>COUNTIFS(Leads!$A$2:$A$141,$A8,Leads!$F$2:$F$141,"Farmhouse")</f>
        <v/>
      </c>
      <c r="I8" s="3">
        <f>COUNTIFS(Leads!$A$2:$A$141,$A8,Leads!$F$2:$F$141,"Amusement")</f>
        <v/>
      </c>
      <c r="J8" s="3">
        <f>COUNTIFS(Leads!$A$2:$A$141,$A8,Leads!$F$2:$F$141,"Club")</f>
        <v/>
      </c>
      <c r="K8" s="3">
        <f>COUNTIFS(Leads!$A$2:$A$141,$A8,Leads!$L$2:$L$141,"High")</f>
        <v/>
      </c>
    </row>
    <row r="9">
      <c r="A9" s="3" t="inlineStr">
        <is>
          <t>Hisar</t>
        </is>
      </c>
      <c r="B9" s="3">
        <f>COUNTIF(Leads!$A$2:$A$141,$A9)</f>
        <v/>
      </c>
      <c r="C9" s="11">
        <f>SUMIF(Leads!$A$2:$A$141,$A9,Leads!$H$2:$H$141)</f>
        <v/>
      </c>
      <c r="D9" s="3">
        <f>COUNTIFS(Leads!$A$2:$A$141,$A9,Leads!$F$2:$F$141,"Hotel")</f>
        <v/>
      </c>
      <c r="E9" s="3">
        <f>COUNTIFS(Leads!$A$2:$A$141,$A9,Leads!$F$2:$F$141,"Motel")</f>
        <v/>
      </c>
      <c r="F9" s="3">
        <f>COUNTIFS(Leads!$A$2:$A$141,$A9,Leads!$F$2:$F$141,"Resort")</f>
        <v/>
      </c>
      <c r="G9" s="3">
        <f>COUNTIFS(Leads!$A$2:$A$141,$A9,Leads!$F$2:$F$141,"Banquet")</f>
        <v/>
      </c>
      <c r="H9" s="3">
        <f>COUNTIFS(Leads!$A$2:$A$141,$A9,Leads!$F$2:$F$141,"Farmhouse")</f>
        <v/>
      </c>
      <c r="I9" s="3">
        <f>COUNTIFS(Leads!$A$2:$A$141,$A9,Leads!$F$2:$F$141,"Amusement")</f>
        <v/>
      </c>
      <c r="J9" s="3">
        <f>COUNTIFS(Leads!$A$2:$A$141,$A9,Leads!$F$2:$F$141,"Club")</f>
        <v/>
      </c>
      <c r="K9" s="3">
        <f>COUNTIFS(Leads!$A$2:$A$141,$A9,Leads!$L$2:$L$141,"High")</f>
        <v/>
      </c>
    </row>
    <row r="10">
      <c r="A10" s="3" t="inlineStr">
        <is>
          <t>Ambala</t>
        </is>
      </c>
      <c r="B10" s="3">
        <f>COUNTIF(Leads!$A$2:$A$141,$A10)</f>
        <v/>
      </c>
      <c r="C10" s="11">
        <f>SUMIF(Leads!$A$2:$A$141,$A10,Leads!$H$2:$H$141)</f>
        <v/>
      </c>
      <c r="D10" s="3">
        <f>COUNTIFS(Leads!$A$2:$A$141,$A10,Leads!$F$2:$F$141,"Hotel")</f>
        <v/>
      </c>
      <c r="E10" s="3">
        <f>COUNTIFS(Leads!$A$2:$A$141,$A10,Leads!$F$2:$F$141,"Motel")</f>
        <v/>
      </c>
      <c r="F10" s="3">
        <f>COUNTIFS(Leads!$A$2:$A$141,$A10,Leads!$F$2:$F$141,"Resort")</f>
        <v/>
      </c>
      <c r="G10" s="3">
        <f>COUNTIFS(Leads!$A$2:$A$141,$A10,Leads!$F$2:$F$141,"Banquet")</f>
        <v/>
      </c>
      <c r="H10" s="3">
        <f>COUNTIFS(Leads!$A$2:$A$141,$A10,Leads!$F$2:$F$141,"Farmhouse")</f>
        <v/>
      </c>
      <c r="I10" s="3">
        <f>COUNTIFS(Leads!$A$2:$A$141,$A10,Leads!$F$2:$F$141,"Amusement")</f>
        <v/>
      </c>
      <c r="J10" s="3">
        <f>COUNTIFS(Leads!$A$2:$A$141,$A10,Leads!$F$2:$F$141,"Club")</f>
        <v/>
      </c>
      <c r="K10" s="3">
        <f>COUNTIFS(Leads!$A$2:$A$141,$A10,Leads!$L$2:$L$141,"High")</f>
        <v/>
      </c>
    </row>
    <row r="11">
      <c r="A11" s="3" t="inlineStr">
        <is>
          <t>Kurukshetra</t>
        </is>
      </c>
      <c r="B11" s="3">
        <f>COUNTIF(Leads!$A$2:$A$141,$A11)</f>
        <v/>
      </c>
      <c r="C11" s="11">
        <f>SUMIF(Leads!$A$2:$A$141,$A11,Leads!$H$2:$H$141)</f>
        <v/>
      </c>
      <c r="D11" s="3">
        <f>COUNTIFS(Leads!$A$2:$A$141,$A11,Leads!$F$2:$F$141,"Hotel")</f>
        <v/>
      </c>
      <c r="E11" s="3">
        <f>COUNTIFS(Leads!$A$2:$A$141,$A11,Leads!$F$2:$F$141,"Motel")</f>
        <v/>
      </c>
      <c r="F11" s="3">
        <f>COUNTIFS(Leads!$A$2:$A$141,$A11,Leads!$F$2:$F$141,"Resort")</f>
        <v/>
      </c>
      <c r="G11" s="3">
        <f>COUNTIFS(Leads!$A$2:$A$141,$A11,Leads!$F$2:$F$141,"Banquet")</f>
        <v/>
      </c>
      <c r="H11" s="3">
        <f>COUNTIFS(Leads!$A$2:$A$141,$A11,Leads!$F$2:$F$141,"Farmhouse")</f>
        <v/>
      </c>
      <c r="I11" s="3">
        <f>COUNTIFS(Leads!$A$2:$A$141,$A11,Leads!$F$2:$F$141,"Amusement")</f>
        <v/>
      </c>
      <c r="J11" s="3">
        <f>COUNTIFS(Leads!$A$2:$A$141,$A11,Leads!$F$2:$F$141,"Club")</f>
        <v/>
      </c>
      <c r="K11" s="3">
        <f>COUNTIFS(Leads!$A$2:$A$141,$A11,Leads!$L$2:$L$141,"High")</f>
        <v/>
      </c>
    </row>
    <row r="12">
      <c r="A12" s="12" t="inlineStr">
        <is>
          <t>Total</t>
        </is>
      </c>
      <c r="B12" s="13">
        <f>SUM(B5:B11)</f>
        <v/>
      </c>
      <c r="C12" s="14">
        <f>SUM(C5:C11)</f>
        <v/>
      </c>
      <c r="D12" s="13">
        <f>SUM(D5:D11)</f>
        <v/>
      </c>
      <c r="E12" s="13">
        <f>SUM(E5:E11)</f>
        <v/>
      </c>
      <c r="F12" s="13">
        <f>SUM(F5:F11)</f>
        <v/>
      </c>
      <c r="G12" s="13">
        <f>SUM(G5:G11)</f>
        <v/>
      </c>
      <c r="H12" s="13">
        <f>SUM(H5:H11)</f>
        <v/>
      </c>
      <c r="I12" s="13">
        <f>SUM(I5:I11)</f>
        <v/>
      </c>
      <c r="J12" s="13">
        <f>SUM(J5:J11)</f>
        <v/>
      </c>
      <c r="K12" s="13">
        <f>SUM(K5:K11)</f>
        <v/>
      </c>
    </row>
    <row r="15">
      <c r="A15" s="15" t="inlineStr">
        <is>
          <t>How to use this file</t>
        </is>
      </c>
      <c r="B15" s="16" t="n"/>
    </row>
    <row r="16" ht="26" customHeight="1">
      <c r="A16" s="17" t="inlineStr">
        <is>
          <t>Yellow-header columns on the Leads sheet (Status, Owner/Contact, Phone/Email, Next Step, Notes) are yours to fill in; every other column is source data — do not edit.</t>
        </is>
      </c>
    </row>
    <row r="17" ht="26" customHeight="1">
      <c r="A17" s="17" t="inlineStr">
        <is>
          <t>Status values suggested: New / Researching / Contacted / Meeting / Dead. Example: Status=Contacted, Owner=Deventure Hotels front office, Phone=via site visit, Next Step=Site meeting w/ Taran, Notes=open to flag talks.</t>
        </is>
      </c>
    </row>
    <row r="18" ht="26" customHeight="1">
      <c r="A18" s="17" t="inlineStr">
        <is>
          <t>Priority Score (col K) = category weight (Hotel 5, Motel/Resort/Amusement 4, Banquet 3, Farmhouse/Club 2) + size bonus (&gt;=4 ac +2, &gt;=2 ac +1) + recency (2024+ +2, 2021+ +1). Band: High &gt;=7, Medium 5-6, Low &lt;5. Assumption made by Caspar analysis, not from any external source.</t>
        </is>
      </c>
    </row>
    <row r="19" ht="26" customHeight="1">
      <c r="A19" s="17" t="inlineStr">
        <is>
          <t>Map (GIS) links open the parcel's boundary on DTCP Haryana's official map (tcpharyana.gov.in).</t>
        </is>
      </c>
    </row>
    <row r="20" ht="26" customHeight="1">
      <c r="A20" s="17" t="inlineStr">
        <is>
          <t>Source: DTCP Haryana CLU year-registers 2017-2026 (tcpharyana.gov.in/WebAdmin/clu/index?id=YYYY), scraped Aug 13, 2026, filtered to hotel/motel/resort/banquet/farmhouse/amusement/club activities.</t>
        </is>
      </c>
    </row>
  </sheetData>
  <mergeCells count="5">
    <mergeCell ref="A18:K18"/>
    <mergeCell ref="A20:K20"/>
    <mergeCell ref="A16:K16"/>
    <mergeCell ref="A19:K19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2026-08-13T16:13:17Z</dcterms:created>
  <dcterms:modified xmlns:dcterms="http://purl.org/dc/terms/" xmlns:xsi="http://www.w3.org/2001/XMLSchema-instance" xsi:type="dcterms:W3CDTF">2026-08-13T16:13:17Z</dcterms:modified>
</cp:coreProperties>
</file>