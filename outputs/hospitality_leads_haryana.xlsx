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Leads" sheetId="1" r:id="rId1"/>
    <sheet name="Summary" sheetId="2" r:id="rId2"/>
  </sheets>
  <definedNames>
    <definedName name="_xlnm._FilterDatabase" localSheetId="0" hidden="1">Leads!$A$1:$R$141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<sst xmlns="http://schemas.openxmlformats.org/spreadsheetml/2006/main" count="2005" uniqueCount="570">
  <si>
    <t>City</t>
  </si>
  <si>
    <t>CLU File No</t>
  </si>
  <si>
    <t>Applicant</t>
  </si>
  <si>
    <t>Village / Location</t>
  </si>
  <si>
    <t>Activity</t>
  </si>
  <si>
    <t>Category</t>
  </si>
  <si>
    <t>Area (sq m)</t>
  </si>
  <si>
    <t>Area (acres)</t>
  </si>
  <si>
    <t>Sanction Date</t>
  </si>
  <si>
    <t>Year</t>
  </si>
  <si>
    <t>Priority Score</t>
  </si>
  <si>
    <t>Priority Band</t>
  </si>
  <si>
    <t>Map (GIS)</t>
  </si>
  <si>
    <t>Status</t>
  </si>
  <si>
    <t>Owner / Contact</t>
  </si>
  <si>
    <t>Phone / Email</t>
  </si>
  <si>
    <t>Next Step</t>
  </si>
  <si>
    <t>Notes</t>
  </si>
  <si>
    <t>Ambala</t>
  </si>
  <si>
    <t>CLU/AA-860A</t>
  </si>
  <si>
    <t>AJAY SAREEN &amp; ANU SAREEN</t>
  </si>
  <si>
    <t>Mohra</t>
  </si>
  <si>
    <t>Motel with Banquet facility</t>
  </si>
  <si>
    <t>Motel</t>
  </si>
  <si>
    <t>11/03/2026</t>
  </si>
  <si>
    <t>2026</t>
  </si>
  <si>
    <t>Map View</t>
  </si>
  <si>
    <t>New</t>
  </si>
  <si>
    <t/>
  </si>
  <si>
    <t>CLU/AA-806A</t>
  </si>
  <si>
    <t>CHANCHAL WADHAWAN</t>
  </si>
  <si>
    <t>Panjlass</t>
  </si>
  <si>
    <t>Hotel With Banquet facilities</t>
  </si>
  <si>
    <t>Hotel</t>
  </si>
  <si>
    <t>19/03/2025</t>
  </si>
  <si>
    <t>2025</t>
  </si>
  <si>
    <t>CLU/AA-780A</t>
  </si>
  <si>
    <t>Ashwani</t>
  </si>
  <si>
    <t>18/10/2023</t>
  </si>
  <si>
    <t>2023</t>
  </si>
  <si>
    <t>CLU/AA-764A</t>
  </si>
  <si>
    <t>Ms NeKi Ram &amp; Sons</t>
  </si>
  <si>
    <t>Barnala</t>
  </si>
  <si>
    <t>06/07/2023</t>
  </si>
  <si>
    <t>CLU/AA-751A</t>
  </si>
  <si>
    <t>LALIT KUMAR</t>
  </si>
  <si>
    <t>Laha</t>
  </si>
  <si>
    <t>08/11/2023</t>
  </si>
  <si>
    <t>CLU/AA-723A</t>
  </si>
  <si>
    <t>Smt. Sneh Jain Wo Late Sh. Pawan K. Jain</t>
  </si>
  <si>
    <t>Khudda Kalan</t>
  </si>
  <si>
    <t>Farm house</t>
  </si>
  <si>
    <t>Farmhouse</t>
  </si>
  <si>
    <t>10/05/2021</t>
  </si>
  <si>
    <t>2021</t>
  </si>
  <si>
    <t>CLU/AA-674</t>
  </si>
  <si>
    <t>Sh. Raminder Dang S/o Sh. Jagan Nath</t>
  </si>
  <si>
    <t>Village Khuda Kalan</t>
  </si>
  <si>
    <t>Banquet Hall</t>
  </si>
  <si>
    <t>Banquet</t>
  </si>
  <si>
    <t>24/05/2019</t>
  </si>
  <si>
    <t>2019</t>
  </si>
  <si>
    <t>CLU/AA-657</t>
  </si>
  <si>
    <t>Sh. Hartej Singh S/o Sh. Twinderjit Singh &amp; others</t>
  </si>
  <si>
    <t>Ambala Cantt.</t>
  </si>
  <si>
    <t>Amusement Park/ Restaurant</t>
  </si>
  <si>
    <t>Amusement</t>
  </si>
  <si>
    <t>19/04/2018</t>
  </si>
  <si>
    <t>2018</t>
  </si>
  <si>
    <t>CLU/AA-618</t>
  </si>
  <si>
    <t>Sh. Jasmer Singh, Sh. Parminder Singh, Sh. Gurdev Singh, Sh. Sukhchain Singh, Smt. Balwinder Kaur, Sh. Gagandeep Singh-Gurkirat Singh, Smt. Tejinder Kaur (Earlier in the name of Sh. Harbans Singh S/o Sh. Kartar Singh)</t>
  </si>
  <si>
    <t>01/03/2017</t>
  </si>
  <si>
    <t>2017</t>
  </si>
  <si>
    <t>CLU/AA-643</t>
  </si>
  <si>
    <t>Sh. Naresh Kapoor S/o Sh. Madan Lal Kapoor C/o Kapoor Handloom Industries</t>
  </si>
  <si>
    <t>19/06/2017</t>
  </si>
  <si>
    <t>CLU/AA-652</t>
  </si>
  <si>
    <t>Sh. Hartej Singh S/o Sh. Inderjeet Singh, Sh. Tawinderjeet Singh S/o Sh. Daya Singh, Smt. Gurpreet Kaur W/o Sh. Tawinderjeet Singh</t>
  </si>
  <si>
    <t>Amusement Park and Food Court (Recreational Centre)</t>
  </si>
  <si>
    <t>28/11/2017</t>
  </si>
  <si>
    <t>Hisar</t>
  </si>
  <si>
    <t>CLU/HR-1368A</t>
  </si>
  <si>
    <t>Raj Kumar</t>
  </si>
  <si>
    <t>Satrod khas</t>
  </si>
  <si>
    <t>Hotel-cum-Resort</t>
  </si>
  <si>
    <t>13/04/2026</t>
  </si>
  <si>
    <t>CLU/HR-1391A</t>
  </si>
  <si>
    <t>Ved Parkash And Smt. Aarti Sardana</t>
  </si>
  <si>
    <t>Kaimri</t>
  </si>
  <si>
    <t>03/07/2026</t>
  </si>
  <si>
    <t>CLU/HR-1415A</t>
  </si>
  <si>
    <t>Om Pati Kusum Modi Seema Modi Renu Modi</t>
  </si>
  <si>
    <t>Mayar</t>
  </si>
  <si>
    <t>28/07/2026</t>
  </si>
  <si>
    <t>CLU/HR-1398A</t>
  </si>
  <si>
    <t>veena rani and deepak kumar</t>
  </si>
  <si>
    <t>Prabhuwala</t>
  </si>
  <si>
    <t>09/06/2026</t>
  </si>
  <si>
    <t>CLU/HR-1388A</t>
  </si>
  <si>
    <t>Jagdish</t>
  </si>
  <si>
    <t>Gaibipur</t>
  </si>
  <si>
    <t>05/03/2026</t>
  </si>
  <si>
    <t>CLU/HR-1350A</t>
  </si>
  <si>
    <t>Anil Kumar</t>
  </si>
  <si>
    <t>Raipur</t>
  </si>
  <si>
    <t>01/10/2025</t>
  </si>
  <si>
    <t>CLU/HR-1352A</t>
  </si>
  <si>
    <t>Parveen and Pormila</t>
  </si>
  <si>
    <t>Sarsod</t>
  </si>
  <si>
    <t>20/11/2025</t>
  </si>
  <si>
    <t>CLU/HR-1309A</t>
  </si>
  <si>
    <t>Niti Garg &amp; others</t>
  </si>
  <si>
    <t>Chickenwas</t>
  </si>
  <si>
    <t>21/04/2025</t>
  </si>
  <si>
    <t>CLU/HR-1282A</t>
  </si>
  <si>
    <t>Sunil Kumar</t>
  </si>
  <si>
    <t>10/11/2025</t>
  </si>
  <si>
    <t>CLU/HR-1279A</t>
  </si>
  <si>
    <t>Uhsa Rani</t>
  </si>
  <si>
    <t>Barwala</t>
  </si>
  <si>
    <t>10/03/2025</t>
  </si>
  <si>
    <t>CLU/HR-1248A</t>
  </si>
  <si>
    <t>RAJPAL &amp; SURENDER SONS OF SADHU RAM</t>
  </si>
  <si>
    <t>Quatabpur</t>
  </si>
  <si>
    <t>Motel without Banquet Facility</t>
  </si>
  <si>
    <t>25/01/2024</t>
  </si>
  <si>
    <t>2024</t>
  </si>
  <si>
    <t>CLU/HR-1260A</t>
  </si>
  <si>
    <t>SH SIDHARATH</t>
  </si>
  <si>
    <t>Narnaund</t>
  </si>
  <si>
    <t>26/07/2024</t>
  </si>
  <si>
    <t>CLU/HR-1265A</t>
  </si>
  <si>
    <t>SUMITRA DEVI</t>
  </si>
  <si>
    <t>Mirka</t>
  </si>
  <si>
    <t>23/10/2024</t>
  </si>
  <si>
    <t>CLU/HR-1258A</t>
  </si>
  <si>
    <t>Kuldeep</t>
  </si>
  <si>
    <t>27/02/2024</t>
  </si>
  <si>
    <t>CLU/HR-1261A</t>
  </si>
  <si>
    <t>Shikshit &amp; Monika</t>
  </si>
  <si>
    <t>09/08/2024</t>
  </si>
  <si>
    <t>CLU/HR-1231A</t>
  </si>
  <si>
    <t>Roopchand Farms</t>
  </si>
  <si>
    <t>Hansi</t>
  </si>
  <si>
    <t>06/09/2023</t>
  </si>
  <si>
    <t>CLU/HR-1219A</t>
  </si>
  <si>
    <t>GREEN HAVELI</t>
  </si>
  <si>
    <t>21/08/2023</t>
  </si>
  <si>
    <t>CLU/HR-1217A</t>
  </si>
  <si>
    <t>CLU/HR-1195A</t>
  </si>
  <si>
    <t>Krishan Kumar and Promila Allawadhi</t>
  </si>
  <si>
    <t>Dabra</t>
  </si>
  <si>
    <t>07/02/2023</t>
  </si>
  <si>
    <t>CLU/HR-1205A</t>
  </si>
  <si>
    <t>Prem Singh &amp; Nirmala Devi</t>
  </si>
  <si>
    <t>Motel cum Restaurant</t>
  </si>
  <si>
    <t>07/06/2023</t>
  </si>
  <si>
    <t>CLU/HR-1183A</t>
  </si>
  <si>
    <t>Sh.Gianiram, Sh. suraj, Sh. Satish Kumar</t>
  </si>
  <si>
    <t>Devan</t>
  </si>
  <si>
    <t>12/07/2022</t>
  </si>
  <si>
    <t>2022</t>
  </si>
  <si>
    <t>CLU/HR-1166A</t>
  </si>
  <si>
    <t>VEENA MITTAL</t>
  </si>
  <si>
    <t>30/05/2022</t>
  </si>
  <si>
    <t>CLU/HR-1194A</t>
  </si>
  <si>
    <t>Zelio Auto Private Limited Through Sh. Niraj Arya</t>
  </si>
  <si>
    <t>Ladwa</t>
  </si>
  <si>
    <t>16/09/2022</t>
  </si>
  <si>
    <t>CLU/HR-1181A</t>
  </si>
  <si>
    <t>Sarvjeet and Parshant Rapeswal</t>
  </si>
  <si>
    <t>07/12/2022</t>
  </si>
  <si>
    <t>CLU/HR-1171A</t>
  </si>
  <si>
    <t>Smt. Mamta Garg and Smt. Shanti Devi</t>
  </si>
  <si>
    <t>31/07/2022</t>
  </si>
  <si>
    <t>CLU/HR-954A</t>
  </si>
  <si>
    <t>Ramandeep Kaur</t>
  </si>
  <si>
    <t>17/03/2022</t>
  </si>
  <si>
    <t>CLU/HR-1155A</t>
  </si>
  <si>
    <t>GREEN VALLEY</t>
  </si>
  <si>
    <t>06/12/2021</t>
  </si>
  <si>
    <t>CLU/HR-1134A</t>
  </si>
  <si>
    <t>Sh.Sajjan Gupta   Sh.Sahil Goyal Etc.</t>
  </si>
  <si>
    <t>25/06/2021</t>
  </si>
  <si>
    <t>CLU/HR-831</t>
  </si>
  <si>
    <t>Smt. Usha Kataria W/o Sh. Kewal Kumar Kataria</t>
  </si>
  <si>
    <t>Village Khedar</t>
  </si>
  <si>
    <t>Motel without Banquet Hall</t>
  </si>
  <si>
    <t>11/06/2019</t>
  </si>
  <si>
    <t>CLU/HR-902</t>
  </si>
  <si>
    <t>Smt. Hem Lata W/o Sh. Sunil</t>
  </si>
  <si>
    <t>Village Hansi</t>
  </si>
  <si>
    <t>06/08/2019</t>
  </si>
  <si>
    <t>CLU/HR-842</t>
  </si>
  <si>
    <t>Smt. Sheela Devi W/o Sh. Rammehar</t>
  </si>
  <si>
    <t>27/04/2018</t>
  </si>
  <si>
    <t>CLU/HR-851</t>
  </si>
  <si>
    <t>Ms. Bimla Devi D/o Sh. Surjan Dass</t>
  </si>
  <si>
    <t>07/03/2018</t>
  </si>
  <si>
    <t>Karnal</t>
  </si>
  <si>
    <t>CLU/KL-1369A</t>
  </si>
  <si>
    <t>RAJESH, RAJEEV, AMIT GOYAL</t>
  </si>
  <si>
    <t>Shamgarh</t>
  </si>
  <si>
    <t>02/03/2026</t>
  </si>
  <si>
    <t>CLU/KL-1245A</t>
  </si>
  <si>
    <t>SMT. SUDESH RAWAL</t>
  </si>
  <si>
    <t>Barna</t>
  </si>
  <si>
    <t>20/02/2026</t>
  </si>
  <si>
    <t>CLU/KL-1392A</t>
  </si>
  <si>
    <t>Arpit Goyal and Sanchit Goyal</t>
  </si>
  <si>
    <t>Samana bahu</t>
  </si>
  <si>
    <t>CLU/KL-1400A</t>
  </si>
  <si>
    <t>Om Parkash</t>
  </si>
  <si>
    <t>Kond</t>
  </si>
  <si>
    <t>Non Star Hotel</t>
  </si>
  <si>
    <t>17/03/2026</t>
  </si>
  <si>
    <t>CLU/KL-1324A</t>
  </si>
  <si>
    <t>DESHRAJ SON OF SADHU RAM</t>
  </si>
  <si>
    <t>26/05/2025</t>
  </si>
  <si>
    <t>CLU/KL-1263A</t>
  </si>
  <si>
    <t>SUKHVINDER KAUR</t>
  </si>
  <si>
    <t>SALARU</t>
  </si>
  <si>
    <t>17/03/2025</t>
  </si>
  <si>
    <t>CLU/KL-951C</t>
  </si>
  <si>
    <t>NARAIN DASS RAHEA</t>
  </si>
  <si>
    <t>Nawal</t>
  </si>
  <si>
    <t>03/05/2025</t>
  </si>
  <si>
    <t>CLU/KL-1302A</t>
  </si>
  <si>
    <t>Deventure Hotels</t>
  </si>
  <si>
    <t>Basdhara</t>
  </si>
  <si>
    <t>28/10/2024</t>
  </si>
  <si>
    <t>CLU/KL-1247A</t>
  </si>
  <si>
    <t>MANU CHAWLA</t>
  </si>
  <si>
    <t>Kurtail</t>
  </si>
  <si>
    <t>28/06/2024</t>
  </si>
  <si>
    <t>CLU/KL-1206A</t>
  </si>
  <si>
    <t>JAGATBIR SINGH SALAUJA</t>
  </si>
  <si>
    <t>Pipliwali</t>
  </si>
  <si>
    <t>CLU/KL-825C</t>
  </si>
  <si>
    <t>Rupinder Pal Singh</t>
  </si>
  <si>
    <t>05/12/2023</t>
  </si>
  <si>
    <t>CLU/KL-956B</t>
  </si>
  <si>
    <t>ANNU BANSAL</t>
  </si>
  <si>
    <t>19/04/2022</t>
  </si>
  <si>
    <t>CLU/KL-1146A</t>
  </si>
  <si>
    <t>Brij Kumar Sharma and Vijay Sharma</t>
  </si>
  <si>
    <t>01/12/2022</t>
  </si>
  <si>
    <t>CLU/KL-1105A</t>
  </si>
  <si>
    <t>Vipin Mann Son of Sh. Bhagat Singh Mann</t>
  </si>
  <si>
    <t>Ghoghripur</t>
  </si>
  <si>
    <t>28/03/2022</t>
  </si>
  <si>
    <t>CLU/KL-1071A</t>
  </si>
  <si>
    <t>MS ROYAL ENCLAVE</t>
  </si>
  <si>
    <t>Khanda kheri</t>
  </si>
  <si>
    <t>09/10/2021</t>
  </si>
  <si>
    <t>CLU/KL-945</t>
  </si>
  <si>
    <t>Smt. Shalini Gupta W/o Sh. Sandeep Kumar</t>
  </si>
  <si>
    <t>19/03/2019</t>
  </si>
  <si>
    <t>CLU/KL-916</t>
  </si>
  <si>
    <t>S/Sh. Mahender Kumar, Anil Kumar Ss/o Sh. Ved Parkash, Smt. Santosh Rani W/o Sh. Mahender Kumar</t>
  </si>
  <si>
    <t>Assandh</t>
  </si>
  <si>
    <t>01/05/2018</t>
  </si>
  <si>
    <t>CLU/KL-876</t>
  </si>
  <si>
    <t>Smt. Annu Bansal W/o Sh. Ajay Bansal</t>
  </si>
  <si>
    <t>Gharaunda</t>
  </si>
  <si>
    <t>Amusement Park</t>
  </si>
  <si>
    <t>06/03/2017</t>
  </si>
  <si>
    <t>CLU/KL-904</t>
  </si>
  <si>
    <t>Sh. Surender Pal Singh S/o Sh. Dilip Singh</t>
  </si>
  <si>
    <t>Nilokheri-Taraori</t>
  </si>
  <si>
    <t>29/11/2017</t>
  </si>
  <si>
    <t>Kurukshetra</t>
  </si>
  <si>
    <t>CLU/KA-806A</t>
  </si>
  <si>
    <t>Ms Dayal rice and general miils</t>
  </si>
  <si>
    <t>Niwarsi</t>
  </si>
  <si>
    <t>06/07/2026</t>
  </si>
  <si>
    <t>CLU/KA-805B</t>
  </si>
  <si>
    <t>DECENT INFRAHOMES LLP</t>
  </si>
  <si>
    <t>Samani</t>
  </si>
  <si>
    <t>18/03/2026</t>
  </si>
  <si>
    <t>CLU/KA-760A</t>
  </si>
  <si>
    <t>RAJESH SHARMA AND ASHWANI KUMAR</t>
  </si>
  <si>
    <t>Samalkhi</t>
  </si>
  <si>
    <t>20/05/2026</t>
  </si>
  <si>
    <t>CLU/KA-853A</t>
  </si>
  <si>
    <t>Baljeet Kaur</t>
  </si>
  <si>
    <t>MATHANA</t>
  </si>
  <si>
    <t>23/04/2026</t>
  </si>
  <si>
    <t>CLU/KA-807A</t>
  </si>
  <si>
    <t>NISHA GOYAL WIFE OF ANKUSH GOYAL</t>
  </si>
  <si>
    <t>Lathi dhanaura</t>
  </si>
  <si>
    <t>31/01/2025</t>
  </si>
  <si>
    <t>CLU/KA-818A</t>
  </si>
  <si>
    <t>pankaj and others</t>
  </si>
  <si>
    <t>Sanwala</t>
  </si>
  <si>
    <t>08/08/2025</t>
  </si>
  <si>
    <t>CLU/KA-815A</t>
  </si>
  <si>
    <t>DALBIR SINGH AND SHAKUNTLA DEVI</t>
  </si>
  <si>
    <t>Ramgarh</t>
  </si>
  <si>
    <t>15/05/2025</t>
  </si>
  <si>
    <t>CLU/KA-805A</t>
  </si>
  <si>
    <t>DECENT INFRAHOMES</t>
  </si>
  <si>
    <t>19/12/2024</t>
  </si>
  <si>
    <t>CLU/KA-803A</t>
  </si>
  <si>
    <t>JNK Hospitality</t>
  </si>
  <si>
    <t>Khanpur kolia</t>
  </si>
  <si>
    <t>12/03/2024</t>
  </si>
  <si>
    <t>CLU/KA-796A</t>
  </si>
  <si>
    <t>06/06/2024</t>
  </si>
  <si>
    <t>CLU/KA-749A</t>
  </si>
  <si>
    <t>VIPUL GUPTA AND PINKI GUPTA</t>
  </si>
  <si>
    <t>19/01/2023</t>
  </si>
  <si>
    <t>CLU/KA-792A</t>
  </si>
  <si>
    <t>Sh. Yajvinder Lather &amp; Sh. Vikram Lather</t>
  </si>
  <si>
    <t>Mohri</t>
  </si>
  <si>
    <t>18/12/2023</t>
  </si>
  <si>
    <t>CLU/KA-747A</t>
  </si>
  <si>
    <t>Veena Rani</t>
  </si>
  <si>
    <t>27/01/2023</t>
  </si>
  <si>
    <t>CLU/KA-765A</t>
  </si>
  <si>
    <t>SEEMA BAJAJ</t>
  </si>
  <si>
    <t>Umri</t>
  </si>
  <si>
    <t>CLU/KA-759A</t>
  </si>
  <si>
    <t>Raman Gupta, Dhiraj Kumar, Gur Partap</t>
  </si>
  <si>
    <t>CLU/KA-672</t>
  </si>
  <si>
    <t>Deepak Goel S/o Siri Chand Goel</t>
  </si>
  <si>
    <t>Village Ban</t>
  </si>
  <si>
    <t>11/07/2020</t>
  </si>
  <si>
    <t>2020</t>
  </si>
  <si>
    <t>CLU/KA-645</t>
  </si>
  <si>
    <t>Sh. Sandeep Golan S/o Sh. Mehar Singh &amp; others</t>
  </si>
  <si>
    <t>Thanesar</t>
  </si>
  <si>
    <t>06/03/2019</t>
  </si>
  <si>
    <t>CLU/KA-608</t>
  </si>
  <si>
    <t>S/Sh. Jeet Singh, Bhajan Singh Ss/o Sh. Ram Singh &amp; others</t>
  </si>
  <si>
    <t>Pehowa</t>
  </si>
  <si>
    <t>14/03/2018</t>
  </si>
  <si>
    <t>CLU/KA-619</t>
  </si>
  <si>
    <t>Smt. Angrezo Devi W/o Sh. Ranjeet Singh, Smt. Dhanpati W/o Raj Singh Through Sh. Ranjit Singh</t>
  </si>
  <si>
    <t>09/02/2018</t>
  </si>
  <si>
    <t>Panipat</t>
  </si>
  <si>
    <t>CLU/PT-1390A</t>
  </si>
  <si>
    <t>SR 39 Engineers Pvt. Ltd.</t>
  </si>
  <si>
    <t>Karhansh</t>
  </si>
  <si>
    <t>16/01/2026</t>
  </si>
  <si>
    <t>CLU/PT-1821A</t>
  </si>
  <si>
    <t>ANIL KUMAR and ANITA RANI</t>
  </si>
  <si>
    <t>Ganjbar</t>
  </si>
  <si>
    <t>12/01/2026</t>
  </si>
  <si>
    <t>CLU/PT-1783A</t>
  </si>
  <si>
    <t>GUNJAN MEHNDIRATTA &amp; SIDDHARTH JETHI</t>
  </si>
  <si>
    <t>08/04/2026</t>
  </si>
  <si>
    <t>CLU/PT-1692A</t>
  </si>
  <si>
    <t>JAVI HOME PRIVATE LIMITED,</t>
  </si>
  <si>
    <t>Jhattipur</t>
  </si>
  <si>
    <t>30/04/2025</t>
  </si>
  <si>
    <t>CLU/PT-1774A</t>
  </si>
  <si>
    <t>SMT MANJU GUPTA &amp; RUCHI GUPTA</t>
  </si>
  <si>
    <t>Kabri</t>
  </si>
  <si>
    <t>19/09/2025</t>
  </si>
  <si>
    <t>CLU/PT-1681A</t>
  </si>
  <si>
    <t>BHUPENDER SINGH</t>
  </si>
  <si>
    <t>Bhalsi</t>
  </si>
  <si>
    <t>20/01/2025</t>
  </si>
  <si>
    <t>CLU/PT-1617A</t>
  </si>
  <si>
    <t>PUSHP LATA GUPTA</t>
  </si>
  <si>
    <t>Chulkana</t>
  </si>
  <si>
    <t>15/04/2025</t>
  </si>
  <si>
    <t>CLU/PT-1793A</t>
  </si>
  <si>
    <t>RAJ KUMAR</t>
  </si>
  <si>
    <t>Kiwana</t>
  </si>
  <si>
    <t>15/10/2025</t>
  </si>
  <si>
    <t>CLU/PT-1734A</t>
  </si>
  <si>
    <t>OMPRAKSH AND NEELAM SACHDEVA</t>
  </si>
  <si>
    <t>14/08/2025</t>
  </si>
  <si>
    <t>CLU/PT-1780A</t>
  </si>
  <si>
    <t>Baljit Singh</t>
  </si>
  <si>
    <t>10/05/2025</t>
  </si>
  <si>
    <t>CLU/PT-1615A</t>
  </si>
  <si>
    <t>Sh Dhiraj Son of Sh Jagpal</t>
  </si>
  <si>
    <t>Patti kalyana</t>
  </si>
  <si>
    <t>CLU/PT-1729A</t>
  </si>
  <si>
    <t>SATBIR SINGH</t>
  </si>
  <si>
    <t>CLU/PT-1625A</t>
  </si>
  <si>
    <t>Dinesh Jain</t>
  </si>
  <si>
    <t>Sewah</t>
  </si>
  <si>
    <t>Three Star Hotel</t>
  </si>
  <si>
    <t>20/02/2024</t>
  </si>
  <si>
    <t>CLU/PT-1526B</t>
  </si>
  <si>
    <t>karandeep singh deswal</t>
  </si>
  <si>
    <t>Sarai kohand</t>
  </si>
  <si>
    <t>16/07/2024</t>
  </si>
  <si>
    <t>CLU/PT-1555A</t>
  </si>
  <si>
    <t>Smt. ROSY GARG &amp; Smt. NIDHI GARG</t>
  </si>
  <si>
    <t>01/04/2023</t>
  </si>
  <si>
    <t>CLU/PT-1580A</t>
  </si>
  <si>
    <t>RAJPAL &amp; RAJBIR SINGH</t>
  </si>
  <si>
    <t>Azizullapur</t>
  </si>
  <si>
    <t>04/08/2023</t>
  </si>
  <si>
    <t>CLU/PT-1511A</t>
  </si>
  <si>
    <t>ARUN &amp; SHALINI</t>
  </si>
  <si>
    <t>Israna</t>
  </si>
  <si>
    <t>08/05/2023</t>
  </si>
  <si>
    <t>CLU/PT-1614A</t>
  </si>
  <si>
    <t>SMT. ROBINA WIFE OF SH. NAVEEN KUMAR</t>
  </si>
  <si>
    <t>Khotpura</t>
  </si>
  <si>
    <t>12/09/2023</t>
  </si>
  <si>
    <t>CLU/PT-1583A</t>
  </si>
  <si>
    <t>SURESH BAJAJ AND GAYTRI BAJAJ</t>
  </si>
  <si>
    <t>Khukhrana</t>
  </si>
  <si>
    <t>CLU/PT-1526A</t>
  </si>
  <si>
    <t>Entertainment cum mini amusement park</t>
  </si>
  <si>
    <t>06/03/2023</t>
  </si>
  <si>
    <t>CLU/PT-1514A</t>
  </si>
  <si>
    <t>Hardeep Chhoker</t>
  </si>
  <si>
    <t>Passina kalan</t>
  </si>
  <si>
    <t>23/11/2022</t>
  </si>
  <si>
    <t>CLU/PT-1368A</t>
  </si>
  <si>
    <t>RANI PALIWAL</t>
  </si>
  <si>
    <t>Faridpur</t>
  </si>
  <si>
    <t>25/08/2021</t>
  </si>
  <si>
    <t>CLU/PT-819B</t>
  </si>
  <si>
    <t>S/Sh. Nishant &amp; Ankush Ss/o Sh. Satpal Bansal, Smt. Geeta W/o Sh. Satpal Bansal</t>
  </si>
  <si>
    <t>ACA Samalkha</t>
  </si>
  <si>
    <t>changing project from Motel without Banquet Facility into Motel with Banquet</t>
  </si>
  <si>
    <t>09/03/2019</t>
  </si>
  <si>
    <t>CLU/PT-822</t>
  </si>
  <si>
    <t>Sh. Vijay Kumar S/o Sh. Baldev Raj &amp; Smt. Nisha W/o Sh. Vijay Kumar</t>
  </si>
  <si>
    <t>18/01/2018</t>
  </si>
  <si>
    <t>CLU/PT-819</t>
  </si>
  <si>
    <t>Smt. Geeta W/o Sh. Satpal, S/Sh. Nishant, Ankush Ss/o Sh. Satpal</t>
  </si>
  <si>
    <t>Samalkha</t>
  </si>
  <si>
    <t>Motel without Banquet facility</t>
  </si>
  <si>
    <t>01/06/2017</t>
  </si>
  <si>
    <t>Rohtak</t>
  </si>
  <si>
    <t>CLU/RK-1222A</t>
  </si>
  <si>
    <t>LPSIS Pvt. Ltd. &amp; Sohana Auto Pvt. Ltd.</t>
  </si>
  <si>
    <t>Gandhara</t>
  </si>
  <si>
    <t>23/07/2025</t>
  </si>
  <si>
    <t>CLU/RK-1237A</t>
  </si>
  <si>
    <t>Satyanarayan S/o Harshe Ram</t>
  </si>
  <si>
    <t>Marondi rangran</t>
  </si>
  <si>
    <t>23/06/2025</t>
  </si>
  <si>
    <t>CLU/RK-1218A</t>
  </si>
  <si>
    <t>Balkishan Saini and Suber Singh Saini</t>
  </si>
  <si>
    <t>Lahli</t>
  </si>
  <si>
    <t>CLU/RK-1169A</t>
  </si>
  <si>
    <t>brij bhushan</t>
  </si>
  <si>
    <t>Kalanaur khurd</t>
  </si>
  <si>
    <t>12/06/2025</t>
  </si>
  <si>
    <t>CLU/RK-1202A</t>
  </si>
  <si>
    <t>NARESH KUMAR</t>
  </si>
  <si>
    <t>Bhainsru kalan</t>
  </si>
  <si>
    <t>05/02/2025</t>
  </si>
  <si>
    <t>CLU/RK-1162A</t>
  </si>
  <si>
    <t>BALBIR</t>
  </si>
  <si>
    <t>Ismaila-11B</t>
  </si>
  <si>
    <t>15/10/2023</t>
  </si>
  <si>
    <t>CLU/RK-1086A</t>
  </si>
  <si>
    <t>Mr. Bhavesh</t>
  </si>
  <si>
    <t>Kehrawar</t>
  </si>
  <si>
    <t>15/05/2023</t>
  </si>
  <si>
    <t>CLU/RK-1095A</t>
  </si>
  <si>
    <t>Hexagon Infratech</t>
  </si>
  <si>
    <t>13/05/2022</t>
  </si>
  <si>
    <t>CLU/RK-1093A</t>
  </si>
  <si>
    <t>Rishab Garg</t>
  </si>
  <si>
    <t>Sampla</t>
  </si>
  <si>
    <t>05/04/2022</t>
  </si>
  <si>
    <t>CLU/RK-1077A</t>
  </si>
  <si>
    <t>SH.LAKHPAT SINGH</t>
  </si>
  <si>
    <t>CLU/RK-1068A</t>
  </si>
  <si>
    <t>prikshit katyal</t>
  </si>
  <si>
    <t>23/11/2021</t>
  </si>
  <si>
    <t>CLU/RK-987A</t>
  </si>
  <si>
    <t>RAJESH KUMAR</t>
  </si>
  <si>
    <t>Sarai ahmed</t>
  </si>
  <si>
    <t>12/12/2021</t>
  </si>
  <si>
    <t>CLU/RK-1045A</t>
  </si>
  <si>
    <t>seema  khurana</t>
  </si>
  <si>
    <t>Ismaila-9b</t>
  </si>
  <si>
    <t>15/01/2021</t>
  </si>
  <si>
    <t>CLU/RK-1016A</t>
  </si>
  <si>
    <t>Payal  Gupta</t>
  </si>
  <si>
    <t>Bhalot</t>
  </si>
  <si>
    <t>22/03/2021</t>
  </si>
  <si>
    <t>CLU/RK-1021</t>
  </si>
  <si>
    <t>Kamlesh Malik D/o Sh. Tareef Singh</t>
  </si>
  <si>
    <t>Village Ismaila-11- Biswa</t>
  </si>
  <si>
    <t>Motel without banquet facility</t>
  </si>
  <si>
    <t>06/10/2020</t>
  </si>
  <si>
    <t>Sonipat</t>
  </si>
  <si>
    <t>CLU/ST-3889A</t>
  </si>
  <si>
    <t>ANJANA GUPTA</t>
  </si>
  <si>
    <t>Jakhauli</t>
  </si>
  <si>
    <t>13/03/2025</t>
  </si>
  <si>
    <t>CLU/ST-3979A</t>
  </si>
  <si>
    <t>Sh. Anuj Gupta</t>
  </si>
  <si>
    <t>Janti Khurd</t>
  </si>
  <si>
    <t>25/04/2025</t>
  </si>
  <si>
    <t>CLU/ST-3773A</t>
  </si>
  <si>
    <t>Pawan Dahiya</t>
  </si>
  <si>
    <t>Rohat</t>
  </si>
  <si>
    <t>CLU/ST-3807A</t>
  </si>
  <si>
    <t>SH RAHUL LUTHRA</t>
  </si>
  <si>
    <t>17/11/2024</t>
  </si>
  <si>
    <t>CLU/ST-3853A</t>
  </si>
  <si>
    <t>Sh. Amit Goyal &amp; Vineet Goyal</t>
  </si>
  <si>
    <t>CLU/ST-3863A</t>
  </si>
  <si>
    <t>Delhi Chartering and shipping Services Pvt. Ltd</t>
  </si>
  <si>
    <t>05/12/2024</t>
  </si>
  <si>
    <t>CLU/ST-3796A</t>
  </si>
  <si>
    <t>Sh Anil Gupta &amp; Smt Kusum Gupta</t>
  </si>
  <si>
    <t>Ladpur</t>
  </si>
  <si>
    <t>CLU/ST-3445A</t>
  </si>
  <si>
    <t>ANIL KUMAR, SUNIL KUMAR &amp; ANKIT</t>
  </si>
  <si>
    <t>Ganaur</t>
  </si>
  <si>
    <t>23/02/2023</t>
  </si>
  <si>
    <t>CLU/ST-3559A</t>
  </si>
  <si>
    <t>Sh Joney and Smt Renu</t>
  </si>
  <si>
    <t>Murthal</t>
  </si>
  <si>
    <t>20/04/2023</t>
  </si>
  <si>
    <t>CLU/ST-3721A</t>
  </si>
  <si>
    <t>AMIT MANGAL</t>
  </si>
  <si>
    <t>Rasoi</t>
  </si>
  <si>
    <t>CLU/ST-3606A</t>
  </si>
  <si>
    <t>SH NUGRAJ JAIN</t>
  </si>
  <si>
    <t>CLU/ST-3617A</t>
  </si>
  <si>
    <t>Smt Suman Makhija</t>
  </si>
  <si>
    <t>21/07/2023</t>
  </si>
  <si>
    <t>CLU/ST-3695A</t>
  </si>
  <si>
    <t>Sham Sunder Kapur</t>
  </si>
  <si>
    <t>16/10/2023</t>
  </si>
  <si>
    <t>CLU/ST-3690A</t>
  </si>
  <si>
    <t>Sh Mahabir</t>
  </si>
  <si>
    <t>Chirsami</t>
  </si>
  <si>
    <t>CLU/ST-3459A</t>
  </si>
  <si>
    <t>JITENDER SINGH &amp; SUNITA KUMARI</t>
  </si>
  <si>
    <t>Khandrai</t>
  </si>
  <si>
    <t>29/11/2022</t>
  </si>
  <si>
    <t>CLU/ST-2294C</t>
  </si>
  <si>
    <t>Smt. Kanta Bhatia Wife of Sh R K Bhatia</t>
  </si>
  <si>
    <t>Larsauli</t>
  </si>
  <si>
    <t>08/04/2022</t>
  </si>
  <si>
    <t>CLU/ST-2483A</t>
  </si>
  <si>
    <t>LATA CHAUDHARY</t>
  </si>
  <si>
    <t>23/07/2021</t>
  </si>
  <si>
    <t>CLU/ST-2306</t>
  </si>
  <si>
    <t>Smt. Bindu W/o Sh. Rakesh</t>
  </si>
  <si>
    <t>Gannaur</t>
  </si>
  <si>
    <t>18/09/2018</t>
  </si>
  <si>
    <t>CLU/ST-2483</t>
  </si>
  <si>
    <t>Smt. Lata Chaudhary W/o Sh. Vijay Singh</t>
  </si>
  <si>
    <t>Gannaur 1A declared around MC, Gannaur</t>
  </si>
  <si>
    <t>Recreational, Theme &amp; Amusement Park</t>
  </si>
  <si>
    <t>26/09/2018</t>
  </si>
  <si>
    <t>Hospitality CLU Leads — Summary</t>
  </si>
  <si>
    <t>All figures computed live from the Leads sheet (COUNTIFS/SUMIFS).</t>
  </si>
  <si>
    <t>Leads</t>
  </si>
  <si>
    <t>Acres</t>
  </si>
  <si>
    <t>Resort</t>
  </si>
  <si>
    <t>Club</t>
  </si>
  <si>
    <t>High priority</t>
  </si>
  <si>
    <t>Total</t>
  </si>
  <si>
    <t>How to use this file</t>
  </si>
  <si>
    <t>Yellow-header columns on the Leads sheet (Status, Owner/Contact, Phone/Email, Next Step, Notes) are yours to fill in; every other column is source data — do not edit.</t>
  </si>
  <si>
    <t>Status values suggested: New / Researching / Contacted / Meeting / Dead. Example: Status=Contacted, Owner=Deventure Hotels front office, Phone=via site visit, Next Step=Site meeting w/ Taran, Notes=open to flag talks.</t>
  </si>
  <si>
    <t>Priority Score (col K) = category weight (Hotel 5, Motel/Resort/Amusement 4, Banquet 3, Farmhouse/Club 2) + size bonus (&gt;=4 ac +2, &gt;=2 ac +1) + recency (2024+ +2, 2021+ +1). Band: High &gt;=7, Medium 5-6, Low &lt;5. Assumption made by Caspar analysis, not from any external source.</t>
  </si>
  <si>
    <t>Map (GIS) links open the parcel's boundary on DTCP Haryana's official map (tcpharyana.gov.in).</t>
  </si>
  <si>
    <t>Source: DTCP Haryana CLU year-registers 2017-2026 (tcpharyana.gov.in/WebAdmin/clu/index?id=YYYY), scraped Aug 13, 2026, filtered to hotel/motel/resort/banquet/farmhouse/amusement/club activities.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</si>
</sst>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29">
    <font>
      <sz val="11"/>
      <color theme="1"/>
      <name val="Calibri"/>
      <charset val="134"/>
      <scheme val="minor"/>
    </font>
    <font>
      <b/>
      <sz val="13"/>
      <name val="Arial"/>
      <charset val="134"/>
    </font>
    <font>
      <i/>
      <sz val="9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9"/>
      <name val="Arial"/>
      <charset val="134"/>
    </font>
    <font>
      <u/>
      <sz val="10"/>
      <color rgb="FF2F5D4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D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7B2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180" fontId="4" fillId="0" borderId="1" xfId="0" applyNumberFormat="1" applyFont="1" applyBorder="1"/>
    <xf numFmtId="0" fontId="5" fillId="0" borderId="0" xfId="0" applyFont="1"/>
    <xf numFmtId="0" fontId="5" fillId="0" borderId="1" xfId="0" applyFont="1" applyBorder="1"/>
    <xf numFmtId="180" fontId="5" fillId="0" borderId="1" xfId="0" applyNumberFormat="1" applyFont="1" applyBorder="1"/>
    <xf numFmtId="0" fontId="6" fillId="0" borderId="0" xfId="0" applyFont="1"/>
    <xf numFmtId="0" fontId="0" fillId="3" borderId="0" xfId="0" applyFill="1"/>
    <xf numFmtId="0" fontId="7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3" fontId="4" fillId="0" borderId="1" xfId="0" applyNumberFormat="1" applyFont="1" applyBorder="1"/>
    <xf numFmtId="2" fontId="4" fillId="0" borderId="1" xfId="0" applyNumberFormat="1" applyFont="1" applyBorder="1"/>
    <xf numFmtId="0" fontId="8" fillId="0" borderId="1" xfId="0" applyFont="1" applyBorder="1"/>
    <xf numFmtId="0" fontId="4" fillId="5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tcpharyana.gov.in/CS_marking/LicenceGIS/CluIndex?CluNo=CLU/PT-1614A" TargetMode="External"/><Relationship Id="rId98" Type="http://schemas.openxmlformats.org/officeDocument/2006/relationships/hyperlink" Target="https://tcpharyana.gov.in/CS_marking/LicenceGIS/CluIndex?CluNo=CLU/PT-1511A" TargetMode="External"/><Relationship Id="rId97" Type="http://schemas.openxmlformats.org/officeDocument/2006/relationships/hyperlink" Target="https://tcpharyana.gov.in/CS_marking/LicenceGIS/CluIndex?CluNo=CLU/PT-1580A" TargetMode="External"/><Relationship Id="rId96" Type="http://schemas.openxmlformats.org/officeDocument/2006/relationships/hyperlink" Target="https://tcpharyana.gov.in/CS_marking/LicenceGIS/CluIndex?CluNo=CLU/PT-1555A" TargetMode="External"/><Relationship Id="rId95" Type="http://schemas.openxmlformats.org/officeDocument/2006/relationships/hyperlink" Target="https://tcpharyana.gov.in/CS_marking/LicenceGIS/CluIndex?CluNo=CLU/PT-1526B" TargetMode="External"/><Relationship Id="rId94" Type="http://schemas.openxmlformats.org/officeDocument/2006/relationships/hyperlink" Target="https://tcpharyana.gov.in/CS_marking/LicenceGIS/CluIndex?CluNo=CLU/PT-1625A" TargetMode="External"/><Relationship Id="rId93" Type="http://schemas.openxmlformats.org/officeDocument/2006/relationships/hyperlink" Target="https://tcpharyana.gov.in/CS_marking/LicenceGIS/CluIndex?CluNo=CLU/PT-1729A" TargetMode="External"/><Relationship Id="rId92" Type="http://schemas.openxmlformats.org/officeDocument/2006/relationships/hyperlink" Target="https://tcpharyana.gov.in/CS_marking/LicenceGIS/CluIndex?CluNo=CLU/PT-1615A" TargetMode="External"/><Relationship Id="rId91" Type="http://schemas.openxmlformats.org/officeDocument/2006/relationships/hyperlink" Target="https://tcpharyana.gov.in/CS_marking/LicenceGIS/CluIndex?CluNo=CLU/PT-1780A" TargetMode="External"/><Relationship Id="rId90" Type="http://schemas.openxmlformats.org/officeDocument/2006/relationships/hyperlink" Target="https://tcpharyana.gov.in/CS_marking/LicenceGIS/CluIndex?CluNo=CLU/PT-1734A" TargetMode="External"/><Relationship Id="rId9" Type="http://schemas.openxmlformats.org/officeDocument/2006/relationships/hyperlink" Target="https://tcpharyana.gov.in/CS_marking/LicenceGIS/CluIndex?CluNo=CLU/AA-618" TargetMode="External"/><Relationship Id="rId89" Type="http://schemas.openxmlformats.org/officeDocument/2006/relationships/hyperlink" Target="https://tcpharyana.gov.in/CS_marking/LicenceGIS/CluIndex?CluNo=CLU/PT-1793A" TargetMode="External"/><Relationship Id="rId88" Type="http://schemas.openxmlformats.org/officeDocument/2006/relationships/hyperlink" Target="https://tcpharyana.gov.in/CS_marking/LicenceGIS/CluIndex?CluNo=CLU/PT-1617A" TargetMode="External"/><Relationship Id="rId87" Type="http://schemas.openxmlformats.org/officeDocument/2006/relationships/hyperlink" Target="https://tcpharyana.gov.in/CS_marking/LicenceGIS/CluIndex?CluNo=CLU/PT-1681A" TargetMode="External"/><Relationship Id="rId86" Type="http://schemas.openxmlformats.org/officeDocument/2006/relationships/hyperlink" Target="https://tcpharyana.gov.in/CS_marking/LicenceGIS/CluIndex?CluNo=CLU/PT-1774A" TargetMode="External"/><Relationship Id="rId85" Type="http://schemas.openxmlformats.org/officeDocument/2006/relationships/hyperlink" Target="https://tcpharyana.gov.in/CS_marking/LicenceGIS/CluIndex?CluNo=CLU/PT-1692A" TargetMode="External"/><Relationship Id="rId84" Type="http://schemas.openxmlformats.org/officeDocument/2006/relationships/hyperlink" Target="https://tcpharyana.gov.in/CS_marking/LicenceGIS/CluIndex?CluNo=CLU/PT-1783A" TargetMode="External"/><Relationship Id="rId83" Type="http://schemas.openxmlformats.org/officeDocument/2006/relationships/hyperlink" Target="https://tcpharyana.gov.in/CS_marking/LicenceGIS/CluIndex?CluNo=CLU/PT-1821A" TargetMode="External"/><Relationship Id="rId82" Type="http://schemas.openxmlformats.org/officeDocument/2006/relationships/hyperlink" Target="https://tcpharyana.gov.in/CS_marking/LicenceGIS/CluIndex?CluNo=CLU/PT-1390A" TargetMode="External"/><Relationship Id="rId81" Type="http://schemas.openxmlformats.org/officeDocument/2006/relationships/hyperlink" Target="https://tcpharyana.gov.in/CS_marking/LicenceGIS/CluIndex?CluNo=CLU/KA-619" TargetMode="External"/><Relationship Id="rId80" Type="http://schemas.openxmlformats.org/officeDocument/2006/relationships/hyperlink" Target="https://tcpharyana.gov.in/CS_marking/LicenceGIS/CluIndex?CluNo=CLU/KA-608" TargetMode="External"/><Relationship Id="rId8" Type="http://schemas.openxmlformats.org/officeDocument/2006/relationships/hyperlink" Target="https://tcpharyana.gov.in/CS_marking/LicenceGIS/CluIndex?CluNo=CLU/AA-657" TargetMode="External"/><Relationship Id="rId79" Type="http://schemas.openxmlformats.org/officeDocument/2006/relationships/hyperlink" Target="https://tcpharyana.gov.in/CS_marking/LicenceGIS/CluIndex?CluNo=CLU/KA-645" TargetMode="External"/><Relationship Id="rId78" Type="http://schemas.openxmlformats.org/officeDocument/2006/relationships/hyperlink" Target="https://tcpharyana.gov.in/CS_marking/LicenceGIS/CluIndex?CluNo=CLU/KA-672" TargetMode="External"/><Relationship Id="rId77" Type="http://schemas.openxmlformats.org/officeDocument/2006/relationships/hyperlink" Target="https://tcpharyana.gov.in/CS_marking/LicenceGIS/CluIndex?CluNo=CLU/KA-759A" TargetMode="External"/><Relationship Id="rId76" Type="http://schemas.openxmlformats.org/officeDocument/2006/relationships/hyperlink" Target="https://tcpharyana.gov.in/CS_marking/LicenceGIS/CluIndex?CluNo=CLU/KA-765A" TargetMode="External"/><Relationship Id="rId75" Type="http://schemas.openxmlformats.org/officeDocument/2006/relationships/hyperlink" Target="https://tcpharyana.gov.in/CS_marking/LicenceGIS/CluIndex?CluNo=CLU/KA-747A" TargetMode="External"/><Relationship Id="rId74" Type="http://schemas.openxmlformats.org/officeDocument/2006/relationships/hyperlink" Target="https://tcpharyana.gov.in/CS_marking/LicenceGIS/CluIndex?CluNo=CLU/KA-792A" TargetMode="External"/><Relationship Id="rId73" Type="http://schemas.openxmlformats.org/officeDocument/2006/relationships/hyperlink" Target="https://tcpharyana.gov.in/CS_marking/LicenceGIS/CluIndex?CluNo=CLU/KA-749A" TargetMode="External"/><Relationship Id="rId72" Type="http://schemas.openxmlformats.org/officeDocument/2006/relationships/hyperlink" Target="https://tcpharyana.gov.in/CS_marking/LicenceGIS/CluIndex?CluNo=CLU/KA-796A" TargetMode="External"/><Relationship Id="rId71" Type="http://schemas.openxmlformats.org/officeDocument/2006/relationships/hyperlink" Target="https://tcpharyana.gov.in/CS_marking/LicenceGIS/CluIndex?CluNo=CLU/KA-803A" TargetMode="External"/><Relationship Id="rId70" Type="http://schemas.openxmlformats.org/officeDocument/2006/relationships/hyperlink" Target="https://tcpharyana.gov.in/CS_marking/LicenceGIS/CluIndex?CluNo=CLU/KA-805A" TargetMode="External"/><Relationship Id="rId7" Type="http://schemas.openxmlformats.org/officeDocument/2006/relationships/hyperlink" Target="https://tcpharyana.gov.in/CS_marking/LicenceGIS/CluIndex?CluNo=CLU/AA-674" TargetMode="External"/><Relationship Id="rId69" Type="http://schemas.openxmlformats.org/officeDocument/2006/relationships/hyperlink" Target="https://tcpharyana.gov.in/CS_marking/LicenceGIS/CluIndex?CluNo=CLU/KA-815A" TargetMode="External"/><Relationship Id="rId68" Type="http://schemas.openxmlformats.org/officeDocument/2006/relationships/hyperlink" Target="https://tcpharyana.gov.in/CS_marking/LicenceGIS/CluIndex?CluNo=CLU/KA-818A" TargetMode="External"/><Relationship Id="rId67" Type="http://schemas.openxmlformats.org/officeDocument/2006/relationships/hyperlink" Target="https://tcpharyana.gov.in/CS_marking/LicenceGIS/CluIndex?CluNo=CLU/KA-807A" TargetMode="External"/><Relationship Id="rId66" Type="http://schemas.openxmlformats.org/officeDocument/2006/relationships/hyperlink" Target="https://tcpharyana.gov.in/CS_marking/LicenceGIS/CluIndex?CluNo=CLU/KA-853A" TargetMode="External"/><Relationship Id="rId65" Type="http://schemas.openxmlformats.org/officeDocument/2006/relationships/hyperlink" Target="https://tcpharyana.gov.in/CS_marking/LicenceGIS/CluIndex?CluNo=CLU/KA-760A" TargetMode="External"/><Relationship Id="rId64" Type="http://schemas.openxmlformats.org/officeDocument/2006/relationships/hyperlink" Target="https://tcpharyana.gov.in/CS_marking/LicenceGIS/CluIndex?CluNo=CLU/KA-805B" TargetMode="External"/><Relationship Id="rId63" Type="http://schemas.openxmlformats.org/officeDocument/2006/relationships/hyperlink" Target="https://tcpharyana.gov.in/CS_marking/LicenceGIS/CluIndex?CluNo=CLU/KA-806A" TargetMode="External"/><Relationship Id="rId62" Type="http://schemas.openxmlformats.org/officeDocument/2006/relationships/hyperlink" Target="https://tcpharyana.gov.in/CS_marking/LicenceGIS/CluIndex?CluNo=CLU/KL-904" TargetMode="External"/><Relationship Id="rId61" Type="http://schemas.openxmlformats.org/officeDocument/2006/relationships/hyperlink" Target="https://tcpharyana.gov.in/CS_marking/LicenceGIS/CluIndex?CluNo=CLU/KL-876" TargetMode="External"/><Relationship Id="rId60" Type="http://schemas.openxmlformats.org/officeDocument/2006/relationships/hyperlink" Target="https://tcpharyana.gov.in/CS_marking/LicenceGIS/CluIndex?CluNo=CLU/KL-916" TargetMode="External"/><Relationship Id="rId6" Type="http://schemas.openxmlformats.org/officeDocument/2006/relationships/hyperlink" Target="https://tcpharyana.gov.in/CS_marking/LicenceGIS/CluIndex?CluNo=CLU/AA-723A" TargetMode="External"/><Relationship Id="rId59" Type="http://schemas.openxmlformats.org/officeDocument/2006/relationships/hyperlink" Target="https://tcpharyana.gov.in/CS_marking/LicenceGIS/CluIndex?CluNo=CLU/KL-945" TargetMode="External"/><Relationship Id="rId58" Type="http://schemas.openxmlformats.org/officeDocument/2006/relationships/hyperlink" Target="https://tcpharyana.gov.in/CS_marking/LicenceGIS/CluIndex?CluNo=CLU/KL-1071A" TargetMode="External"/><Relationship Id="rId57" Type="http://schemas.openxmlformats.org/officeDocument/2006/relationships/hyperlink" Target="https://tcpharyana.gov.in/CS_marking/LicenceGIS/CluIndex?CluNo=CLU/KL-1105A" TargetMode="External"/><Relationship Id="rId56" Type="http://schemas.openxmlformats.org/officeDocument/2006/relationships/hyperlink" Target="https://tcpharyana.gov.in/CS_marking/LicenceGIS/CluIndex?CluNo=CLU/KL-1146A" TargetMode="External"/><Relationship Id="rId55" Type="http://schemas.openxmlformats.org/officeDocument/2006/relationships/hyperlink" Target="https://tcpharyana.gov.in/CS_marking/LicenceGIS/CluIndex?CluNo=CLU/KL-956B" TargetMode="External"/><Relationship Id="rId54" Type="http://schemas.openxmlformats.org/officeDocument/2006/relationships/hyperlink" Target="https://tcpharyana.gov.in/CS_marking/LicenceGIS/CluIndex?CluNo=CLU/KL-825C" TargetMode="External"/><Relationship Id="rId53" Type="http://schemas.openxmlformats.org/officeDocument/2006/relationships/hyperlink" Target="https://tcpharyana.gov.in/CS_marking/LicenceGIS/CluIndex?CluNo=CLU/KL-1206A" TargetMode="External"/><Relationship Id="rId52" Type="http://schemas.openxmlformats.org/officeDocument/2006/relationships/hyperlink" Target="https://tcpharyana.gov.in/CS_marking/LicenceGIS/CluIndex?CluNo=CLU/KL-1247A" TargetMode="External"/><Relationship Id="rId51" Type="http://schemas.openxmlformats.org/officeDocument/2006/relationships/hyperlink" Target="https://tcpharyana.gov.in/CS_marking/LicenceGIS/CluIndex?CluNo=CLU/KL-1302A" TargetMode="External"/><Relationship Id="rId50" Type="http://schemas.openxmlformats.org/officeDocument/2006/relationships/hyperlink" Target="https://tcpharyana.gov.in/CS_marking/LicenceGIS/CluIndex?CluNo=CLU/KL-951C" TargetMode="External"/><Relationship Id="rId5" Type="http://schemas.openxmlformats.org/officeDocument/2006/relationships/hyperlink" Target="https://tcpharyana.gov.in/CS_marking/LicenceGIS/CluIndex?CluNo=CLU/AA-751A" TargetMode="External"/><Relationship Id="rId49" Type="http://schemas.openxmlformats.org/officeDocument/2006/relationships/hyperlink" Target="https://tcpharyana.gov.in/CS_marking/LicenceGIS/CluIndex?CluNo=CLU/KL-1263A" TargetMode="External"/><Relationship Id="rId48" Type="http://schemas.openxmlformats.org/officeDocument/2006/relationships/hyperlink" Target="https://tcpharyana.gov.in/CS_marking/LicenceGIS/CluIndex?CluNo=CLU/KL-1324A" TargetMode="External"/><Relationship Id="rId47" Type="http://schemas.openxmlformats.org/officeDocument/2006/relationships/hyperlink" Target="https://tcpharyana.gov.in/CS_marking/LicenceGIS/CluIndex?CluNo=CLU/KL-1400A" TargetMode="External"/><Relationship Id="rId46" Type="http://schemas.openxmlformats.org/officeDocument/2006/relationships/hyperlink" Target="https://tcpharyana.gov.in/CS_marking/LicenceGIS/CluIndex?CluNo=CLU/KL-1392A" TargetMode="External"/><Relationship Id="rId45" Type="http://schemas.openxmlformats.org/officeDocument/2006/relationships/hyperlink" Target="https://tcpharyana.gov.in/CS_marking/LicenceGIS/CluIndex?CluNo=CLU/KL-1245A" TargetMode="External"/><Relationship Id="rId44" Type="http://schemas.openxmlformats.org/officeDocument/2006/relationships/hyperlink" Target="https://tcpharyana.gov.in/CS_marking/LicenceGIS/CluIndex?CluNo=CLU/KL-1369A" TargetMode="External"/><Relationship Id="rId43" Type="http://schemas.openxmlformats.org/officeDocument/2006/relationships/hyperlink" Target="https://tcpharyana.gov.in/CS_marking/LicenceGIS/CluIndex?CluNo=CLU/HR-851" TargetMode="External"/><Relationship Id="rId42" Type="http://schemas.openxmlformats.org/officeDocument/2006/relationships/hyperlink" Target="https://tcpharyana.gov.in/CS_marking/LicenceGIS/CluIndex?CluNo=CLU/HR-842" TargetMode="External"/><Relationship Id="rId41" Type="http://schemas.openxmlformats.org/officeDocument/2006/relationships/hyperlink" Target="https://tcpharyana.gov.in/CS_marking/LicenceGIS/CluIndex?CluNo=CLU/HR-902" TargetMode="External"/><Relationship Id="rId40" Type="http://schemas.openxmlformats.org/officeDocument/2006/relationships/hyperlink" Target="https://tcpharyana.gov.in/CS_marking/LicenceGIS/CluIndex?CluNo=CLU/HR-831" TargetMode="External"/><Relationship Id="rId4" Type="http://schemas.openxmlformats.org/officeDocument/2006/relationships/hyperlink" Target="https://tcpharyana.gov.in/CS_marking/LicenceGIS/CluIndex?CluNo=CLU/AA-764A" TargetMode="External"/><Relationship Id="rId39" Type="http://schemas.openxmlformats.org/officeDocument/2006/relationships/hyperlink" Target="https://tcpharyana.gov.in/CS_marking/LicenceGIS/CluIndex?CluNo=CLU/HR-1134A" TargetMode="External"/><Relationship Id="rId38" Type="http://schemas.openxmlformats.org/officeDocument/2006/relationships/hyperlink" Target="https://tcpharyana.gov.in/CS_marking/LicenceGIS/CluIndex?CluNo=CLU/HR-1155A" TargetMode="External"/><Relationship Id="rId37" Type="http://schemas.openxmlformats.org/officeDocument/2006/relationships/hyperlink" Target="https://tcpharyana.gov.in/CS_marking/LicenceGIS/CluIndex?CluNo=CLU/HR-954A" TargetMode="External"/><Relationship Id="rId36" Type="http://schemas.openxmlformats.org/officeDocument/2006/relationships/hyperlink" Target="https://tcpharyana.gov.in/CS_marking/LicenceGIS/CluIndex?CluNo=CLU/HR-1171A" TargetMode="External"/><Relationship Id="rId35" Type="http://schemas.openxmlformats.org/officeDocument/2006/relationships/hyperlink" Target="https://tcpharyana.gov.in/CS_marking/LicenceGIS/CluIndex?CluNo=CLU/HR-1181A" TargetMode="External"/><Relationship Id="rId34" Type="http://schemas.openxmlformats.org/officeDocument/2006/relationships/hyperlink" Target="https://tcpharyana.gov.in/CS_marking/LicenceGIS/CluIndex?CluNo=CLU/HR-1194A" TargetMode="External"/><Relationship Id="rId33" Type="http://schemas.openxmlformats.org/officeDocument/2006/relationships/hyperlink" Target="https://tcpharyana.gov.in/CS_marking/LicenceGIS/CluIndex?CluNo=CLU/HR-1166A" TargetMode="External"/><Relationship Id="rId32" Type="http://schemas.openxmlformats.org/officeDocument/2006/relationships/hyperlink" Target="https://tcpharyana.gov.in/CS_marking/LicenceGIS/CluIndex?CluNo=CLU/HR-1183A" TargetMode="External"/><Relationship Id="rId31" Type="http://schemas.openxmlformats.org/officeDocument/2006/relationships/hyperlink" Target="https://tcpharyana.gov.in/CS_marking/LicenceGIS/CluIndex?CluNo=CLU/HR-1205A" TargetMode="External"/><Relationship Id="rId30" Type="http://schemas.openxmlformats.org/officeDocument/2006/relationships/hyperlink" Target="https://tcpharyana.gov.in/CS_marking/LicenceGIS/CluIndex?CluNo=CLU/HR-1195A" TargetMode="External"/><Relationship Id="rId3" Type="http://schemas.openxmlformats.org/officeDocument/2006/relationships/hyperlink" Target="https://tcpharyana.gov.in/CS_marking/LicenceGIS/CluIndex?CluNo=CLU/AA-780A" TargetMode="External"/><Relationship Id="rId29" Type="http://schemas.openxmlformats.org/officeDocument/2006/relationships/hyperlink" Target="https://tcpharyana.gov.in/CS_marking/LicenceGIS/CluIndex?CluNo=CLU/HR-1217A" TargetMode="External"/><Relationship Id="rId28" Type="http://schemas.openxmlformats.org/officeDocument/2006/relationships/hyperlink" Target="https://tcpharyana.gov.in/CS_marking/LicenceGIS/CluIndex?CluNo=CLU/HR-1219A" TargetMode="External"/><Relationship Id="rId27" Type="http://schemas.openxmlformats.org/officeDocument/2006/relationships/hyperlink" Target="https://tcpharyana.gov.in/CS_marking/LicenceGIS/CluIndex?CluNo=CLU/HR-1231A" TargetMode="External"/><Relationship Id="rId26" Type="http://schemas.openxmlformats.org/officeDocument/2006/relationships/hyperlink" Target="https://tcpharyana.gov.in/CS_marking/LicenceGIS/CluIndex?CluNo=CLU/HR-1261A" TargetMode="External"/><Relationship Id="rId25" Type="http://schemas.openxmlformats.org/officeDocument/2006/relationships/hyperlink" Target="https://tcpharyana.gov.in/CS_marking/LicenceGIS/CluIndex?CluNo=CLU/HR-1258A" TargetMode="External"/><Relationship Id="rId24" Type="http://schemas.openxmlformats.org/officeDocument/2006/relationships/hyperlink" Target="https://tcpharyana.gov.in/CS_marking/LicenceGIS/CluIndex?CluNo=CLU/HR-1265A" TargetMode="External"/><Relationship Id="rId23" Type="http://schemas.openxmlformats.org/officeDocument/2006/relationships/hyperlink" Target="https://tcpharyana.gov.in/CS_marking/LicenceGIS/CluIndex?CluNo=CLU/HR-1260A" TargetMode="External"/><Relationship Id="rId22" Type="http://schemas.openxmlformats.org/officeDocument/2006/relationships/hyperlink" Target="https://tcpharyana.gov.in/CS_marking/LicenceGIS/CluIndex?CluNo=CLU/HR-1248A" TargetMode="External"/><Relationship Id="rId21" Type="http://schemas.openxmlformats.org/officeDocument/2006/relationships/hyperlink" Target="https://tcpharyana.gov.in/CS_marking/LicenceGIS/CluIndex?CluNo=CLU/HR-1279A" TargetMode="External"/><Relationship Id="rId20" Type="http://schemas.openxmlformats.org/officeDocument/2006/relationships/hyperlink" Target="https://tcpharyana.gov.in/CS_marking/LicenceGIS/CluIndex?CluNo=CLU/HR-1282A" TargetMode="External"/><Relationship Id="rId2" Type="http://schemas.openxmlformats.org/officeDocument/2006/relationships/hyperlink" Target="https://tcpharyana.gov.in/CS_marking/LicenceGIS/CluIndex?CluNo=CLU/AA-806A" TargetMode="External"/><Relationship Id="rId19" Type="http://schemas.openxmlformats.org/officeDocument/2006/relationships/hyperlink" Target="https://tcpharyana.gov.in/CS_marking/LicenceGIS/CluIndex?CluNo=CLU/HR-1309A" TargetMode="External"/><Relationship Id="rId18" Type="http://schemas.openxmlformats.org/officeDocument/2006/relationships/hyperlink" Target="https://tcpharyana.gov.in/CS_marking/LicenceGIS/CluIndex?CluNo=CLU/HR-1352A" TargetMode="External"/><Relationship Id="rId17" Type="http://schemas.openxmlformats.org/officeDocument/2006/relationships/hyperlink" Target="https://tcpharyana.gov.in/CS_marking/LicenceGIS/CluIndex?CluNo=CLU/HR-1350A" TargetMode="External"/><Relationship Id="rId16" Type="http://schemas.openxmlformats.org/officeDocument/2006/relationships/hyperlink" Target="https://tcpharyana.gov.in/CS_marking/LicenceGIS/CluIndex?CluNo=CLU/HR-1388A" TargetMode="External"/><Relationship Id="rId15" Type="http://schemas.openxmlformats.org/officeDocument/2006/relationships/hyperlink" Target="https://tcpharyana.gov.in/CS_marking/LicenceGIS/CluIndex?CluNo=CLU/HR-1398A" TargetMode="External"/><Relationship Id="rId140" Type="http://schemas.openxmlformats.org/officeDocument/2006/relationships/hyperlink" Target="https://tcpharyana.gov.in/CS_marking/LicenceGIS/CluIndex?CluNo=CLU/ST-2483" TargetMode="External"/><Relationship Id="rId14" Type="http://schemas.openxmlformats.org/officeDocument/2006/relationships/hyperlink" Target="https://tcpharyana.gov.in/CS_marking/LicenceGIS/CluIndex?CluNo=CLU/HR-1415A" TargetMode="External"/><Relationship Id="rId139" Type="http://schemas.openxmlformats.org/officeDocument/2006/relationships/hyperlink" Target="https://tcpharyana.gov.in/CS_marking/LicenceGIS/CluIndex?CluNo=CLU/ST-2306" TargetMode="External"/><Relationship Id="rId138" Type="http://schemas.openxmlformats.org/officeDocument/2006/relationships/hyperlink" Target="https://tcpharyana.gov.in/CS_marking/LicenceGIS/CluIndex?CluNo=CLU/ST-2483A" TargetMode="External"/><Relationship Id="rId137" Type="http://schemas.openxmlformats.org/officeDocument/2006/relationships/hyperlink" Target="https://tcpharyana.gov.in/CS_marking/LicenceGIS/CluIndex?CluNo=CLU/ST-2294C" TargetMode="External"/><Relationship Id="rId136" Type="http://schemas.openxmlformats.org/officeDocument/2006/relationships/hyperlink" Target="https://tcpharyana.gov.in/CS_marking/LicenceGIS/CluIndex?CluNo=CLU/ST-3459A" TargetMode="External"/><Relationship Id="rId135" Type="http://schemas.openxmlformats.org/officeDocument/2006/relationships/hyperlink" Target="https://tcpharyana.gov.in/CS_marking/LicenceGIS/CluIndex?CluNo=CLU/ST-3690A" TargetMode="External"/><Relationship Id="rId134" Type="http://schemas.openxmlformats.org/officeDocument/2006/relationships/hyperlink" Target="https://tcpharyana.gov.in/CS_marking/LicenceGIS/CluIndex?CluNo=CLU/ST-3695A" TargetMode="External"/><Relationship Id="rId133" Type="http://schemas.openxmlformats.org/officeDocument/2006/relationships/hyperlink" Target="https://tcpharyana.gov.in/CS_marking/LicenceGIS/CluIndex?CluNo=CLU/ST-3617A" TargetMode="External"/><Relationship Id="rId132" Type="http://schemas.openxmlformats.org/officeDocument/2006/relationships/hyperlink" Target="https://tcpharyana.gov.in/CS_marking/LicenceGIS/CluIndex?CluNo=CLU/ST-3606A" TargetMode="External"/><Relationship Id="rId131" Type="http://schemas.openxmlformats.org/officeDocument/2006/relationships/hyperlink" Target="https://tcpharyana.gov.in/CS_marking/LicenceGIS/CluIndex?CluNo=CLU/ST-3721A" TargetMode="External"/><Relationship Id="rId130" Type="http://schemas.openxmlformats.org/officeDocument/2006/relationships/hyperlink" Target="https://tcpharyana.gov.in/CS_marking/LicenceGIS/CluIndex?CluNo=CLU/ST-3559A" TargetMode="External"/><Relationship Id="rId13" Type="http://schemas.openxmlformats.org/officeDocument/2006/relationships/hyperlink" Target="https://tcpharyana.gov.in/CS_marking/LicenceGIS/CluIndex?CluNo=CLU/HR-1391A" TargetMode="External"/><Relationship Id="rId129" Type="http://schemas.openxmlformats.org/officeDocument/2006/relationships/hyperlink" Target="https://tcpharyana.gov.in/CS_marking/LicenceGIS/CluIndex?CluNo=CLU/ST-3445A" TargetMode="External"/><Relationship Id="rId128" Type="http://schemas.openxmlformats.org/officeDocument/2006/relationships/hyperlink" Target="https://tcpharyana.gov.in/CS_marking/LicenceGIS/CluIndex?CluNo=CLU/ST-3796A" TargetMode="External"/><Relationship Id="rId127" Type="http://schemas.openxmlformats.org/officeDocument/2006/relationships/hyperlink" Target="https://tcpharyana.gov.in/CS_marking/LicenceGIS/CluIndex?CluNo=CLU/ST-3863A" TargetMode="External"/><Relationship Id="rId126" Type="http://schemas.openxmlformats.org/officeDocument/2006/relationships/hyperlink" Target="https://tcpharyana.gov.in/CS_marking/LicenceGIS/CluIndex?CluNo=CLU/ST-3853A" TargetMode="External"/><Relationship Id="rId125" Type="http://schemas.openxmlformats.org/officeDocument/2006/relationships/hyperlink" Target="https://tcpharyana.gov.in/CS_marking/LicenceGIS/CluIndex?CluNo=CLU/ST-3807A" TargetMode="External"/><Relationship Id="rId124" Type="http://schemas.openxmlformats.org/officeDocument/2006/relationships/hyperlink" Target="https://tcpharyana.gov.in/CS_marking/LicenceGIS/CluIndex?CluNo=CLU/ST-3773A" TargetMode="External"/><Relationship Id="rId123" Type="http://schemas.openxmlformats.org/officeDocument/2006/relationships/hyperlink" Target="https://tcpharyana.gov.in/CS_marking/LicenceGIS/CluIndex?CluNo=CLU/ST-3979A" TargetMode="External"/><Relationship Id="rId122" Type="http://schemas.openxmlformats.org/officeDocument/2006/relationships/hyperlink" Target="https://tcpharyana.gov.in/CS_marking/LicenceGIS/CluIndex?CluNo=CLU/ST-3889A" TargetMode="External"/><Relationship Id="rId121" Type="http://schemas.openxmlformats.org/officeDocument/2006/relationships/hyperlink" Target="https://tcpharyana.gov.in/CS_marking/LicenceGIS/CluIndex?CluNo=CLU/RK-1021" TargetMode="External"/><Relationship Id="rId120" Type="http://schemas.openxmlformats.org/officeDocument/2006/relationships/hyperlink" Target="https://tcpharyana.gov.in/CS_marking/LicenceGIS/CluIndex?CluNo=CLU/RK-1016A" TargetMode="External"/><Relationship Id="rId12" Type="http://schemas.openxmlformats.org/officeDocument/2006/relationships/hyperlink" Target="https://tcpharyana.gov.in/CS_marking/LicenceGIS/CluIndex?CluNo=CLU/HR-1368A" TargetMode="External"/><Relationship Id="rId119" Type="http://schemas.openxmlformats.org/officeDocument/2006/relationships/hyperlink" Target="https://tcpharyana.gov.in/CS_marking/LicenceGIS/CluIndex?CluNo=CLU/RK-1045A" TargetMode="External"/><Relationship Id="rId118" Type="http://schemas.openxmlformats.org/officeDocument/2006/relationships/hyperlink" Target="https://tcpharyana.gov.in/CS_marking/LicenceGIS/CluIndex?CluNo=CLU/RK-987A" TargetMode="External"/><Relationship Id="rId117" Type="http://schemas.openxmlformats.org/officeDocument/2006/relationships/hyperlink" Target="https://tcpharyana.gov.in/CS_marking/LicenceGIS/CluIndex?CluNo=CLU/RK-1068A" TargetMode="External"/><Relationship Id="rId116" Type="http://schemas.openxmlformats.org/officeDocument/2006/relationships/hyperlink" Target="https://tcpharyana.gov.in/CS_marking/LicenceGIS/CluIndex?CluNo=CLU/RK-1077A" TargetMode="External"/><Relationship Id="rId115" Type="http://schemas.openxmlformats.org/officeDocument/2006/relationships/hyperlink" Target="https://tcpharyana.gov.in/CS_marking/LicenceGIS/CluIndex?CluNo=CLU/RK-1093A" TargetMode="External"/><Relationship Id="rId114" Type="http://schemas.openxmlformats.org/officeDocument/2006/relationships/hyperlink" Target="https://tcpharyana.gov.in/CS_marking/LicenceGIS/CluIndex?CluNo=CLU/RK-1095A" TargetMode="External"/><Relationship Id="rId113" Type="http://schemas.openxmlformats.org/officeDocument/2006/relationships/hyperlink" Target="https://tcpharyana.gov.in/CS_marking/LicenceGIS/CluIndex?CluNo=CLU/RK-1086A" TargetMode="External"/><Relationship Id="rId112" Type="http://schemas.openxmlformats.org/officeDocument/2006/relationships/hyperlink" Target="https://tcpharyana.gov.in/CS_marking/LicenceGIS/CluIndex?CluNo=CLU/RK-1162A" TargetMode="External"/><Relationship Id="rId111" Type="http://schemas.openxmlformats.org/officeDocument/2006/relationships/hyperlink" Target="https://tcpharyana.gov.in/CS_marking/LicenceGIS/CluIndex?CluNo=CLU/RK-1202A" TargetMode="External"/><Relationship Id="rId110" Type="http://schemas.openxmlformats.org/officeDocument/2006/relationships/hyperlink" Target="https://tcpharyana.gov.in/CS_marking/LicenceGIS/CluIndex?CluNo=CLU/RK-1169A" TargetMode="External"/><Relationship Id="rId11" Type="http://schemas.openxmlformats.org/officeDocument/2006/relationships/hyperlink" Target="https://tcpharyana.gov.in/CS_marking/LicenceGIS/CluIndex?CluNo=CLU/AA-652" TargetMode="External"/><Relationship Id="rId109" Type="http://schemas.openxmlformats.org/officeDocument/2006/relationships/hyperlink" Target="https://tcpharyana.gov.in/CS_marking/LicenceGIS/CluIndex?CluNo=CLU/RK-1218A" TargetMode="External"/><Relationship Id="rId108" Type="http://schemas.openxmlformats.org/officeDocument/2006/relationships/hyperlink" Target="https://tcpharyana.gov.in/CS_marking/LicenceGIS/CluIndex?CluNo=CLU/RK-1237A" TargetMode="External"/><Relationship Id="rId107" Type="http://schemas.openxmlformats.org/officeDocument/2006/relationships/hyperlink" Target="https://tcpharyana.gov.in/CS_marking/LicenceGIS/CluIndex?CluNo=CLU/RK-1222A" TargetMode="External"/><Relationship Id="rId106" Type="http://schemas.openxmlformats.org/officeDocument/2006/relationships/hyperlink" Target="https://tcpharyana.gov.in/CS_marking/LicenceGIS/CluIndex?CluNo=CLU/PT-819" TargetMode="External"/><Relationship Id="rId105" Type="http://schemas.openxmlformats.org/officeDocument/2006/relationships/hyperlink" Target="https://tcpharyana.gov.in/CS_marking/LicenceGIS/CluIndex?CluNo=CLU/PT-822" TargetMode="External"/><Relationship Id="rId104" Type="http://schemas.openxmlformats.org/officeDocument/2006/relationships/hyperlink" Target="https://tcpharyana.gov.in/CS_marking/LicenceGIS/CluIndex?CluNo=CLU/PT-819B" TargetMode="External"/><Relationship Id="rId103" Type="http://schemas.openxmlformats.org/officeDocument/2006/relationships/hyperlink" Target="https://tcpharyana.gov.in/CS_marking/LicenceGIS/CluIndex?CluNo=CLU/PT-1368A" TargetMode="External"/><Relationship Id="rId102" Type="http://schemas.openxmlformats.org/officeDocument/2006/relationships/hyperlink" Target="https://tcpharyana.gov.in/CS_marking/LicenceGIS/CluIndex?CluNo=CLU/PT-1514A" TargetMode="External"/><Relationship Id="rId101" Type="http://schemas.openxmlformats.org/officeDocument/2006/relationships/hyperlink" Target="https://tcpharyana.gov.in/CS_marking/LicenceGIS/CluIndex?CluNo=CLU/PT-1526A" TargetMode="External"/><Relationship Id="rId100" Type="http://schemas.openxmlformats.org/officeDocument/2006/relationships/hyperlink" Target="https://tcpharyana.gov.in/CS_marking/LicenceGIS/CluIndex?CluNo=CLU/PT-1583A" TargetMode="External"/><Relationship Id="rId10" Type="http://schemas.openxmlformats.org/officeDocument/2006/relationships/hyperlink" Target="https://tcpharyana.gov.in/CS_marking/LicenceGIS/CluIndex?CluNo=CLU/AA-643" TargetMode="External"/><Relationship Id="rId1" Type="http://schemas.openxmlformats.org/officeDocument/2006/relationships/hyperlink" Target="https://tcpharyana.gov.in/CS_marking/LicenceGIS/CluIndex?CluNo=CLU/AA-86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1"/>
  <sheetViews>
    <sheetView tabSelected="1" workbookViewId="0">
      <pane ySplit="1" topLeftCell="A2" activePane="bottomLeft" state="frozen"/>
      <selection/>
      <selection pane="bottomLeft" activeCell="M2" sqref="M2"/>
    </sheetView>
  </sheetViews>
  <sheetFormatPr defaultColWidth="9" defaultRowHeight="14.4"/>
  <cols>
    <col min="1" max="1" width="12" customWidth="1"/>
    <col min="2" max="2" width="15" customWidth="1"/>
    <col min="3" max="3" width="30" customWidth="1"/>
    <col min="4" max="4" width="18" customWidth="1"/>
    <col min="5" max="5" width="26" customWidth="1"/>
    <col min="6" max="7" width="11" customWidth="1"/>
    <col min="8" max="8" width="10" customWidth="1"/>
    <col min="9" max="9" width="12" customWidth="1"/>
    <col min="10" max="10" width="7" customWidth="1"/>
    <col min="11" max="12" width="9" customWidth="1"/>
    <col min="13" max="14" width="10" customWidth="1"/>
    <col min="15" max="17" width="22" customWidth="1"/>
    <col min="18" max="18" width="30" customWidth="1"/>
  </cols>
  <sheetData>
    <row r="1" ht="26.4" spans="1:1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</row>
    <row r="2" spans="1:18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14">
        <v>2795.7</v>
      </c>
      <c r="H2" s="15">
        <v>0.690831904241807</v>
      </c>
      <c r="I2" s="4" t="s">
        <v>24</v>
      </c>
      <c r="J2" s="4" t="s">
        <v>25</v>
      </c>
      <c r="K2" s="4">
        <f t="shared" ref="K2:K65" si="0">IF($F2="Hotel",5,IF($F2="Motel",4,IF($F2="Resort",4,IF($F2="Amusement",4,IF($F2="Banquet",3,2)))))+IF($H2&gt;=4,2,IF($H2&gt;=2,1,0))+IF(VALUE($J2)&gt;=2024,2,IF(VALUE($J2)&gt;=2021,1,0))</f>
        <v>6</v>
      </c>
      <c r="L2" s="4" t="str">
        <f t="shared" ref="L2:L65" si="1">IF($K2&gt;=7,"High",IF($K2&gt;=5,"Medium","Low"))</f>
        <v>Medium</v>
      </c>
      <c r="M2" s="16" t="s">
        <v>26</v>
      </c>
      <c r="N2" s="17" t="s">
        <v>27</v>
      </c>
      <c r="O2" s="17" t="s">
        <v>28</v>
      </c>
      <c r="P2" s="17" t="s">
        <v>28</v>
      </c>
      <c r="Q2" s="17" t="s">
        <v>28</v>
      </c>
      <c r="R2" s="17" t="s">
        <v>28</v>
      </c>
    </row>
    <row r="3" spans="1:18">
      <c r="A3" s="4" t="s">
        <v>18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14">
        <v>4890.4</v>
      </c>
      <c r="H3" s="15">
        <v>1.20844308920991</v>
      </c>
      <c r="I3" s="4" t="s">
        <v>34</v>
      </c>
      <c r="J3" s="4" t="s">
        <v>35</v>
      </c>
      <c r="K3" s="4">
        <f t="shared" si="0"/>
        <v>7</v>
      </c>
      <c r="L3" s="4" t="str">
        <f t="shared" si="1"/>
        <v>High</v>
      </c>
      <c r="M3" s="16" t="s">
        <v>26</v>
      </c>
      <c r="N3" s="17" t="s">
        <v>27</v>
      </c>
      <c r="O3" s="17" t="s">
        <v>28</v>
      </c>
      <c r="P3" s="17" t="s">
        <v>28</v>
      </c>
      <c r="Q3" s="17" t="s">
        <v>28</v>
      </c>
      <c r="R3" s="17" t="s">
        <v>28</v>
      </c>
    </row>
    <row r="4" spans="1:18">
      <c r="A4" s="4" t="s">
        <v>18</v>
      </c>
      <c r="B4" s="4" t="s">
        <v>36</v>
      </c>
      <c r="C4" s="4" t="s">
        <v>37</v>
      </c>
      <c r="D4" s="4" t="s">
        <v>21</v>
      </c>
      <c r="E4" s="4" t="s">
        <v>32</v>
      </c>
      <c r="F4" s="4" t="s">
        <v>33</v>
      </c>
      <c r="G4" s="14">
        <v>14119.7</v>
      </c>
      <c r="H4" s="15">
        <v>3.48905077022679</v>
      </c>
      <c r="I4" s="4" t="s">
        <v>38</v>
      </c>
      <c r="J4" s="4" t="s">
        <v>39</v>
      </c>
      <c r="K4" s="4">
        <f t="shared" si="0"/>
        <v>7</v>
      </c>
      <c r="L4" s="4" t="str">
        <f t="shared" si="1"/>
        <v>High</v>
      </c>
      <c r="M4" s="16" t="s">
        <v>26</v>
      </c>
      <c r="N4" s="17" t="s">
        <v>27</v>
      </c>
      <c r="O4" s="17" t="s">
        <v>28</v>
      </c>
      <c r="P4" s="17" t="s">
        <v>28</v>
      </c>
      <c r="Q4" s="17" t="s">
        <v>28</v>
      </c>
      <c r="R4" s="17" t="s">
        <v>28</v>
      </c>
    </row>
    <row r="5" spans="1:18">
      <c r="A5" s="4" t="s">
        <v>18</v>
      </c>
      <c r="B5" s="4" t="s">
        <v>40</v>
      </c>
      <c r="C5" s="4" t="s">
        <v>41</v>
      </c>
      <c r="D5" s="4" t="s">
        <v>42</v>
      </c>
      <c r="E5" s="4" t="s">
        <v>22</v>
      </c>
      <c r="F5" s="4" t="s">
        <v>23</v>
      </c>
      <c r="G5" s="14">
        <v>8239.9</v>
      </c>
      <c r="H5" s="15">
        <v>2.03612183272957</v>
      </c>
      <c r="I5" s="4" t="s">
        <v>43</v>
      </c>
      <c r="J5" s="4" t="s">
        <v>39</v>
      </c>
      <c r="K5" s="4">
        <f t="shared" si="0"/>
        <v>6</v>
      </c>
      <c r="L5" s="4" t="str">
        <f t="shared" si="1"/>
        <v>Medium</v>
      </c>
      <c r="M5" s="16" t="s">
        <v>26</v>
      </c>
      <c r="N5" s="17" t="s">
        <v>27</v>
      </c>
      <c r="O5" s="17" t="s">
        <v>28</v>
      </c>
      <c r="P5" s="17" t="s">
        <v>28</v>
      </c>
      <c r="Q5" s="17" t="s">
        <v>28</v>
      </c>
      <c r="R5" s="17" t="s">
        <v>28</v>
      </c>
    </row>
    <row r="6" spans="1:18">
      <c r="A6" s="4" t="s">
        <v>18</v>
      </c>
      <c r="B6" s="4" t="s">
        <v>44</v>
      </c>
      <c r="C6" s="4" t="s">
        <v>45</v>
      </c>
      <c r="D6" s="4" t="s">
        <v>46</v>
      </c>
      <c r="E6" s="4" t="s">
        <v>22</v>
      </c>
      <c r="F6" s="4" t="s">
        <v>23</v>
      </c>
      <c r="G6" s="14">
        <v>7668.5</v>
      </c>
      <c r="H6" s="15">
        <v>1.89492594258264</v>
      </c>
      <c r="I6" s="4" t="s">
        <v>47</v>
      </c>
      <c r="J6" s="4" t="s">
        <v>39</v>
      </c>
      <c r="K6" s="4">
        <f t="shared" si="0"/>
        <v>5</v>
      </c>
      <c r="L6" s="4" t="str">
        <f t="shared" si="1"/>
        <v>Medium</v>
      </c>
      <c r="M6" s="16" t="s">
        <v>26</v>
      </c>
      <c r="N6" s="17" t="s">
        <v>27</v>
      </c>
      <c r="O6" s="17" t="s">
        <v>28</v>
      </c>
      <c r="P6" s="17" t="s">
        <v>28</v>
      </c>
      <c r="Q6" s="17" t="s">
        <v>28</v>
      </c>
      <c r="R6" s="17" t="s">
        <v>28</v>
      </c>
    </row>
    <row r="7" spans="1:18">
      <c r="A7" s="4" t="s">
        <v>18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14">
        <v>25</v>
      </c>
      <c r="H7" s="15">
        <v>0.0061776290753819</v>
      </c>
      <c r="I7" s="4" t="s">
        <v>53</v>
      </c>
      <c r="J7" s="4" t="s">
        <v>54</v>
      </c>
      <c r="K7" s="4">
        <f t="shared" si="0"/>
        <v>3</v>
      </c>
      <c r="L7" s="4" t="str">
        <f t="shared" si="1"/>
        <v>Low</v>
      </c>
      <c r="M7" s="16" t="s">
        <v>26</v>
      </c>
      <c r="N7" s="17" t="s">
        <v>27</v>
      </c>
      <c r="O7" s="17" t="s">
        <v>28</v>
      </c>
      <c r="P7" s="17" t="s">
        <v>28</v>
      </c>
      <c r="Q7" s="17" t="s">
        <v>28</v>
      </c>
      <c r="R7" s="17" t="s">
        <v>28</v>
      </c>
    </row>
    <row r="8" spans="1:18">
      <c r="A8" s="4" t="s">
        <v>18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14"/>
      <c r="H8" s="15"/>
      <c r="I8" s="4" t="s">
        <v>60</v>
      </c>
      <c r="J8" s="4" t="s">
        <v>61</v>
      </c>
      <c r="K8" s="4">
        <f t="shared" si="0"/>
        <v>3</v>
      </c>
      <c r="L8" s="4" t="str">
        <f t="shared" si="1"/>
        <v>Low</v>
      </c>
      <c r="M8" s="16" t="s">
        <v>26</v>
      </c>
      <c r="N8" s="17" t="s">
        <v>27</v>
      </c>
      <c r="O8" s="17" t="s">
        <v>28</v>
      </c>
      <c r="P8" s="17" t="s">
        <v>28</v>
      </c>
      <c r="Q8" s="17" t="s">
        <v>28</v>
      </c>
      <c r="R8" s="17" t="s">
        <v>28</v>
      </c>
    </row>
    <row r="9" spans="1:18">
      <c r="A9" s="4" t="s">
        <v>18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66</v>
      </c>
      <c r="G9" s="14"/>
      <c r="H9" s="15"/>
      <c r="I9" s="4" t="s">
        <v>67</v>
      </c>
      <c r="J9" s="4" t="s">
        <v>68</v>
      </c>
      <c r="K9" s="4">
        <f t="shared" si="0"/>
        <v>4</v>
      </c>
      <c r="L9" s="4" t="str">
        <f t="shared" si="1"/>
        <v>Low</v>
      </c>
      <c r="M9" s="16" t="s">
        <v>26</v>
      </c>
      <c r="N9" s="17" t="s">
        <v>27</v>
      </c>
      <c r="O9" s="17" t="s">
        <v>28</v>
      </c>
      <c r="P9" s="17" t="s">
        <v>28</v>
      </c>
      <c r="Q9" s="17" t="s">
        <v>28</v>
      </c>
      <c r="R9" s="17" t="s">
        <v>28</v>
      </c>
    </row>
    <row r="10" spans="1:18">
      <c r="A10" s="4" t="s">
        <v>18</v>
      </c>
      <c r="B10" s="4" t="s">
        <v>69</v>
      </c>
      <c r="C10" s="4" t="s">
        <v>70</v>
      </c>
      <c r="D10" s="4" t="s">
        <v>18</v>
      </c>
      <c r="E10" s="4" t="s">
        <v>52</v>
      </c>
      <c r="F10" s="4" t="s">
        <v>52</v>
      </c>
      <c r="G10" s="14"/>
      <c r="H10" s="15"/>
      <c r="I10" s="4" t="s">
        <v>71</v>
      </c>
      <c r="J10" s="4" t="s">
        <v>72</v>
      </c>
      <c r="K10" s="4">
        <f t="shared" si="0"/>
        <v>2</v>
      </c>
      <c r="L10" s="4" t="str">
        <f t="shared" si="1"/>
        <v>Low</v>
      </c>
      <c r="M10" s="16" t="s">
        <v>26</v>
      </c>
      <c r="N10" s="17" t="s">
        <v>27</v>
      </c>
      <c r="O10" s="17" t="s">
        <v>28</v>
      </c>
      <c r="P10" s="17" t="s">
        <v>28</v>
      </c>
      <c r="Q10" s="17" t="s">
        <v>28</v>
      </c>
      <c r="R10" s="17" t="s">
        <v>28</v>
      </c>
    </row>
    <row r="11" spans="1:18">
      <c r="A11" s="4" t="s">
        <v>18</v>
      </c>
      <c r="B11" s="4" t="s">
        <v>73</v>
      </c>
      <c r="C11" s="4" t="s">
        <v>74</v>
      </c>
      <c r="D11" s="4" t="s">
        <v>18</v>
      </c>
      <c r="E11" s="4" t="s">
        <v>58</v>
      </c>
      <c r="F11" s="4" t="s">
        <v>59</v>
      </c>
      <c r="G11" s="14"/>
      <c r="H11" s="15"/>
      <c r="I11" s="4" t="s">
        <v>75</v>
      </c>
      <c r="J11" s="4" t="s">
        <v>72</v>
      </c>
      <c r="K11" s="4">
        <f t="shared" si="0"/>
        <v>3</v>
      </c>
      <c r="L11" s="4" t="str">
        <f t="shared" si="1"/>
        <v>Low</v>
      </c>
      <c r="M11" s="16" t="s">
        <v>26</v>
      </c>
      <c r="N11" s="17" t="s">
        <v>27</v>
      </c>
      <c r="O11" s="17" t="s">
        <v>28</v>
      </c>
      <c r="P11" s="17" t="s">
        <v>28</v>
      </c>
      <c r="Q11" s="17" t="s">
        <v>28</v>
      </c>
      <c r="R11" s="17" t="s">
        <v>28</v>
      </c>
    </row>
    <row r="12" spans="1:18">
      <c r="A12" s="4" t="s">
        <v>18</v>
      </c>
      <c r="B12" s="4" t="s">
        <v>76</v>
      </c>
      <c r="C12" s="4" t="s">
        <v>77</v>
      </c>
      <c r="D12" s="4" t="s">
        <v>18</v>
      </c>
      <c r="E12" s="4" t="s">
        <v>78</v>
      </c>
      <c r="F12" s="4" t="s">
        <v>66</v>
      </c>
      <c r="G12" s="14"/>
      <c r="H12" s="15"/>
      <c r="I12" s="4" t="s">
        <v>79</v>
      </c>
      <c r="J12" s="4" t="s">
        <v>72</v>
      </c>
      <c r="K12" s="4">
        <f t="shared" si="0"/>
        <v>4</v>
      </c>
      <c r="L12" s="4" t="str">
        <f t="shared" si="1"/>
        <v>Low</v>
      </c>
      <c r="M12" s="16" t="s">
        <v>26</v>
      </c>
      <c r="N12" s="17" t="s">
        <v>27</v>
      </c>
      <c r="O12" s="17" t="s">
        <v>28</v>
      </c>
      <c r="P12" s="17" t="s">
        <v>28</v>
      </c>
      <c r="Q12" s="17" t="s">
        <v>28</v>
      </c>
      <c r="R12" s="17" t="s">
        <v>28</v>
      </c>
    </row>
    <row r="13" spans="1:18">
      <c r="A13" s="4" t="s">
        <v>80</v>
      </c>
      <c r="B13" s="4" t="s">
        <v>81</v>
      </c>
      <c r="C13" s="4" t="s">
        <v>82</v>
      </c>
      <c r="D13" s="4" t="s">
        <v>83</v>
      </c>
      <c r="E13" s="4" t="s">
        <v>84</v>
      </c>
      <c r="F13" s="4" t="s">
        <v>33</v>
      </c>
      <c r="G13" s="14">
        <v>26810.2</v>
      </c>
      <c r="H13" s="15">
        <v>6.62493884147215</v>
      </c>
      <c r="I13" s="4" t="s">
        <v>85</v>
      </c>
      <c r="J13" s="4" t="s">
        <v>25</v>
      </c>
      <c r="K13" s="4">
        <f t="shared" si="0"/>
        <v>9</v>
      </c>
      <c r="L13" s="4" t="str">
        <f t="shared" si="1"/>
        <v>High</v>
      </c>
      <c r="M13" s="16" t="s">
        <v>26</v>
      </c>
      <c r="N13" s="17" t="s">
        <v>27</v>
      </c>
      <c r="O13" s="17" t="s">
        <v>28</v>
      </c>
      <c r="P13" s="17" t="s">
        <v>28</v>
      </c>
      <c r="Q13" s="17" t="s">
        <v>28</v>
      </c>
      <c r="R13" s="17" t="s">
        <v>28</v>
      </c>
    </row>
    <row r="14" spans="1:18">
      <c r="A14" s="4" t="s">
        <v>80</v>
      </c>
      <c r="B14" s="4" t="s">
        <v>86</v>
      </c>
      <c r="C14" s="4" t="s">
        <v>87</v>
      </c>
      <c r="D14" s="4" t="s">
        <v>88</v>
      </c>
      <c r="E14" s="4" t="s">
        <v>51</v>
      </c>
      <c r="F14" s="4" t="s">
        <v>52</v>
      </c>
      <c r="G14" s="14">
        <v>6045</v>
      </c>
      <c r="H14" s="15">
        <v>1.49375071042734</v>
      </c>
      <c r="I14" s="4" t="s">
        <v>89</v>
      </c>
      <c r="J14" s="4" t="s">
        <v>25</v>
      </c>
      <c r="K14" s="4">
        <f t="shared" si="0"/>
        <v>4</v>
      </c>
      <c r="L14" s="4" t="str">
        <f t="shared" si="1"/>
        <v>Low</v>
      </c>
      <c r="M14" s="16" t="s">
        <v>26</v>
      </c>
      <c r="N14" s="17" t="s">
        <v>27</v>
      </c>
      <c r="O14" s="17" t="s">
        <v>28</v>
      </c>
      <c r="P14" s="17" t="s">
        <v>28</v>
      </c>
      <c r="Q14" s="17" t="s">
        <v>28</v>
      </c>
      <c r="R14" s="17" t="s">
        <v>28</v>
      </c>
    </row>
    <row r="15" spans="1:18">
      <c r="A15" s="4" t="s">
        <v>80</v>
      </c>
      <c r="B15" s="4" t="s">
        <v>90</v>
      </c>
      <c r="C15" s="4" t="s">
        <v>91</v>
      </c>
      <c r="D15" s="4" t="s">
        <v>92</v>
      </c>
      <c r="E15" s="4" t="s">
        <v>32</v>
      </c>
      <c r="F15" s="4" t="s">
        <v>33</v>
      </c>
      <c r="G15" s="14">
        <v>5720.5</v>
      </c>
      <c r="H15" s="15">
        <v>1.41356508502889</v>
      </c>
      <c r="I15" s="4" t="s">
        <v>93</v>
      </c>
      <c r="J15" s="4" t="s">
        <v>25</v>
      </c>
      <c r="K15" s="4">
        <f t="shared" si="0"/>
        <v>7</v>
      </c>
      <c r="L15" s="4" t="str">
        <f t="shared" si="1"/>
        <v>High</v>
      </c>
      <c r="M15" s="16" t="s">
        <v>26</v>
      </c>
      <c r="N15" s="17" t="s">
        <v>27</v>
      </c>
      <c r="O15" s="17" t="s">
        <v>28</v>
      </c>
      <c r="P15" s="17" t="s">
        <v>28</v>
      </c>
      <c r="Q15" s="17" t="s">
        <v>28</v>
      </c>
      <c r="R15" s="17" t="s">
        <v>28</v>
      </c>
    </row>
    <row r="16" spans="1:18">
      <c r="A16" s="4" t="s">
        <v>80</v>
      </c>
      <c r="B16" s="4" t="s">
        <v>94</v>
      </c>
      <c r="C16" s="4" t="s">
        <v>95</v>
      </c>
      <c r="D16" s="4" t="s">
        <v>96</v>
      </c>
      <c r="E16" s="4" t="s">
        <v>22</v>
      </c>
      <c r="F16" s="4" t="s">
        <v>23</v>
      </c>
      <c r="G16" s="14">
        <v>2697.3</v>
      </c>
      <c r="H16" s="15">
        <v>0.666516756201104</v>
      </c>
      <c r="I16" s="4" t="s">
        <v>97</v>
      </c>
      <c r="J16" s="4" t="s">
        <v>25</v>
      </c>
      <c r="K16" s="4">
        <f t="shared" si="0"/>
        <v>6</v>
      </c>
      <c r="L16" s="4" t="str">
        <f t="shared" si="1"/>
        <v>Medium</v>
      </c>
      <c r="M16" s="16" t="s">
        <v>26</v>
      </c>
      <c r="N16" s="17" t="s">
        <v>27</v>
      </c>
      <c r="O16" s="17" t="s">
        <v>28</v>
      </c>
      <c r="P16" s="17" t="s">
        <v>28</v>
      </c>
      <c r="Q16" s="17" t="s">
        <v>28</v>
      </c>
      <c r="R16" s="17" t="s">
        <v>28</v>
      </c>
    </row>
    <row r="17" spans="1:18">
      <c r="A17" s="4" t="s">
        <v>80</v>
      </c>
      <c r="B17" s="4" t="s">
        <v>98</v>
      </c>
      <c r="C17" s="4" t="s">
        <v>99</v>
      </c>
      <c r="D17" s="4" t="s">
        <v>100</v>
      </c>
      <c r="E17" s="4" t="s">
        <v>22</v>
      </c>
      <c r="F17" s="4" t="s">
        <v>23</v>
      </c>
      <c r="G17" s="14">
        <v>2018.6</v>
      </c>
      <c r="H17" s="15">
        <v>0.498806482062636</v>
      </c>
      <c r="I17" s="4" t="s">
        <v>101</v>
      </c>
      <c r="J17" s="4" t="s">
        <v>25</v>
      </c>
      <c r="K17" s="4">
        <f t="shared" si="0"/>
        <v>6</v>
      </c>
      <c r="L17" s="4" t="str">
        <f t="shared" si="1"/>
        <v>Medium</v>
      </c>
      <c r="M17" s="16" t="s">
        <v>26</v>
      </c>
      <c r="N17" s="17" t="s">
        <v>27</v>
      </c>
      <c r="O17" s="17" t="s">
        <v>28</v>
      </c>
      <c r="P17" s="17" t="s">
        <v>28</v>
      </c>
      <c r="Q17" s="17" t="s">
        <v>28</v>
      </c>
      <c r="R17" s="17" t="s">
        <v>28</v>
      </c>
    </row>
    <row r="18" spans="1:18">
      <c r="A18" s="4" t="s">
        <v>80</v>
      </c>
      <c r="B18" s="4" t="s">
        <v>102</v>
      </c>
      <c r="C18" s="4" t="s">
        <v>103</v>
      </c>
      <c r="D18" s="4" t="s">
        <v>104</v>
      </c>
      <c r="E18" s="4" t="s">
        <v>51</v>
      </c>
      <c r="F18" s="4" t="s">
        <v>52</v>
      </c>
      <c r="G18" s="14">
        <v>7309.6</v>
      </c>
      <c r="H18" s="15">
        <v>1.80623989957646</v>
      </c>
      <c r="I18" s="4" t="s">
        <v>105</v>
      </c>
      <c r="J18" s="4" t="s">
        <v>35</v>
      </c>
      <c r="K18" s="4">
        <f t="shared" si="0"/>
        <v>4</v>
      </c>
      <c r="L18" s="4" t="str">
        <f t="shared" si="1"/>
        <v>Low</v>
      </c>
      <c r="M18" s="16" t="s">
        <v>26</v>
      </c>
      <c r="N18" s="17" t="s">
        <v>27</v>
      </c>
      <c r="O18" s="17" t="s">
        <v>28</v>
      </c>
      <c r="P18" s="17" t="s">
        <v>28</v>
      </c>
      <c r="Q18" s="17" t="s">
        <v>28</v>
      </c>
      <c r="R18" s="17" t="s">
        <v>28</v>
      </c>
    </row>
    <row r="19" spans="1:18">
      <c r="A19" s="4" t="s">
        <v>80</v>
      </c>
      <c r="B19" s="4" t="s">
        <v>106</v>
      </c>
      <c r="C19" s="4" t="s">
        <v>107</v>
      </c>
      <c r="D19" s="4" t="s">
        <v>108</v>
      </c>
      <c r="E19" s="4" t="s">
        <v>32</v>
      </c>
      <c r="F19" s="4" t="s">
        <v>33</v>
      </c>
      <c r="G19" s="14">
        <v>6097</v>
      </c>
      <c r="H19" s="15">
        <v>1.50660017890414</v>
      </c>
      <c r="I19" s="4" t="s">
        <v>109</v>
      </c>
      <c r="J19" s="4" t="s">
        <v>35</v>
      </c>
      <c r="K19" s="4">
        <f t="shared" si="0"/>
        <v>7</v>
      </c>
      <c r="L19" s="4" t="str">
        <f t="shared" si="1"/>
        <v>High</v>
      </c>
      <c r="M19" s="16" t="s">
        <v>26</v>
      </c>
      <c r="N19" s="17" t="s">
        <v>27</v>
      </c>
      <c r="O19" s="17" t="s">
        <v>28</v>
      </c>
      <c r="P19" s="17" t="s">
        <v>28</v>
      </c>
      <c r="Q19" s="17" t="s">
        <v>28</v>
      </c>
      <c r="R19" s="17" t="s">
        <v>28</v>
      </c>
    </row>
    <row r="20" spans="1:18">
      <c r="A20" s="4" t="s">
        <v>80</v>
      </c>
      <c r="B20" s="4" t="s">
        <v>110</v>
      </c>
      <c r="C20" s="4" t="s">
        <v>111</v>
      </c>
      <c r="D20" s="4" t="s">
        <v>112</v>
      </c>
      <c r="E20" s="4" t="s">
        <v>51</v>
      </c>
      <c r="F20" s="4" t="s">
        <v>52</v>
      </c>
      <c r="G20" s="14">
        <v>5674.2</v>
      </c>
      <c r="H20" s="15">
        <v>1.40212411598128</v>
      </c>
      <c r="I20" s="4" t="s">
        <v>113</v>
      </c>
      <c r="J20" s="4" t="s">
        <v>35</v>
      </c>
      <c r="K20" s="4">
        <f t="shared" si="0"/>
        <v>4</v>
      </c>
      <c r="L20" s="4" t="str">
        <f t="shared" si="1"/>
        <v>Low</v>
      </c>
      <c r="M20" s="16" t="s">
        <v>26</v>
      </c>
      <c r="N20" s="17" t="s">
        <v>27</v>
      </c>
      <c r="O20" s="17" t="s">
        <v>28</v>
      </c>
      <c r="P20" s="17" t="s">
        <v>28</v>
      </c>
      <c r="Q20" s="17" t="s">
        <v>28</v>
      </c>
      <c r="R20" s="17" t="s">
        <v>28</v>
      </c>
    </row>
    <row r="21" spans="1:18">
      <c r="A21" s="4" t="s">
        <v>80</v>
      </c>
      <c r="B21" s="4" t="s">
        <v>114</v>
      </c>
      <c r="C21" s="4" t="s">
        <v>115</v>
      </c>
      <c r="D21" s="4" t="s">
        <v>92</v>
      </c>
      <c r="E21" s="4" t="s">
        <v>22</v>
      </c>
      <c r="F21" s="4" t="s">
        <v>23</v>
      </c>
      <c r="G21" s="14">
        <v>2001.3</v>
      </c>
      <c r="H21" s="15">
        <v>0.494531562742472</v>
      </c>
      <c r="I21" s="4" t="s">
        <v>116</v>
      </c>
      <c r="J21" s="4" t="s">
        <v>35</v>
      </c>
      <c r="K21" s="4">
        <f t="shared" si="0"/>
        <v>6</v>
      </c>
      <c r="L21" s="4" t="str">
        <f t="shared" si="1"/>
        <v>Medium</v>
      </c>
      <c r="M21" s="16" t="s">
        <v>26</v>
      </c>
      <c r="N21" s="17" t="s">
        <v>27</v>
      </c>
      <c r="O21" s="17" t="s">
        <v>28</v>
      </c>
      <c r="P21" s="17" t="s">
        <v>28</v>
      </c>
      <c r="Q21" s="17" t="s">
        <v>28</v>
      </c>
      <c r="R21" s="17" t="s">
        <v>28</v>
      </c>
    </row>
    <row r="22" spans="1:18">
      <c r="A22" s="4" t="s">
        <v>80</v>
      </c>
      <c r="B22" s="4" t="s">
        <v>117</v>
      </c>
      <c r="C22" s="4" t="s">
        <v>118</v>
      </c>
      <c r="D22" s="4" t="s">
        <v>119</v>
      </c>
      <c r="E22" s="4" t="s">
        <v>22</v>
      </c>
      <c r="F22" s="4" t="s">
        <v>23</v>
      </c>
      <c r="G22" s="14">
        <v>1998.1</v>
      </c>
      <c r="H22" s="15">
        <v>0.493740826220823</v>
      </c>
      <c r="I22" s="4" t="s">
        <v>120</v>
      </c>
      <c r="J22" s="4" t="s">
        <v>35</v>
      </c>
      <c r="K22" s="4">
        <f t="shared" si="0"/>
        <v>6</v>
      </c>
      <c r="L22" s="4" t="str">
        <f t="shared" si="1"/>
        <v>Medium</v>
      </c>
      <c r="M22" s="16" t="s">
        <v>26</v>
      </c>
      <c r="N22" s="17" t="s">
        <v>27</v>
      </c>
      <c r="O22" s="17" t="s">
        <v>28</v>
      </c>
      <c r="P22" s="17" t="s">
        <v>28</v>
      </c>
      <c r="Q22" s="17" t="s">
        <v>28</v>
      </c>
      <c r="R22" s="17" t="s">
        <v>28</v>
      </c>
    </row>
    <row r="23" spans="1:18">
      <c r="A23" s="4" t="s">
        <v>80</v>
      </c>
      <c r="B23" s="4" t="s">
        <v>121</v>
      </c>
      <c r="C23" s="4" t="s">
        <v>122</v>
      </c>
      <c r="D23" s="4" t="s">
        <v>123</v>
      </c>
      <c r="E23" s="4" t="s">
        <v>124</v>
      </c>
      <c r="F23" s="4" t="s">
        <v>23</v>
      </c>
      <c r="G23" s="14">
        <v>6520.6</v>
      </c>
      <c r="H23" s="15">
        <v>1.61127392595741</v>
      </c>
      <c r="I23" s="4" t="s">
        <v>125</v>
      </c>
      <c r="J23" s="4" t="s">
        <v>126</v>
      </c>
      <c r="K23" s="4">
        <f t="shared" si="0"/>
        <v>6</v>
      </c>
      <c r="L23" s="4" t="str">
        <f t="shared" si="1"/>
        <v>Medium</v>
      </c>
      <c r="M23" s="16" t="s">
        <v>26</v>
      </c>
      <c r="N23" s="17" t="s">
        <v>27</v>
      </c>
      <c r="O23" s="17" t="s">
        <v>28</v>
      </c>
      <c r="P23" s="17" t="s">
        <v>28</v>
      </c>
      <c r="Q23" s="17" t="s">
        <v>28</v>
      </c>
      <c r="R23" s="17" t="s">
        <v>28</v>
      </c>
    </row>
    <row r="24" spans="1:18">
      <c r="A24" s="4" t="s">
        <v>80</v>
      </c>
      <c r="B24" s="4" t="s">
        <v>127</v>
      </c>
      <c r="C24" s="4" t="s">
        <v>128</v>
      </c>
      <c r="D24" s="4" t="s">
        <v>129</v>
      </c>
      <c r="E24" s="4" t="s">
        <v>22</v>
      </c>
      <c r="F24" s="4" t="s">
        <v>23</v>
      </c>
      <c r="G24" s="14">
        <v>5863.4</v>
      </c>
      <c r="H24" s="15">
        <v>1.44887641282377</v>
      </c>
      <c r="I24" s="4" t="s">
        <v>130</v>
      </c>
      <c r="J24" s="4" t="s">
        <v>126</v>
      </c>
      <c r="K24" s="4">
        <f t="shared" si="0"/>
        <v>6</v>
      </c>
      <c r="L24" s="4" t="str">
        <f t="shared" si="1"/>
        <v>Medium</v>
      </c>
      <c r="M24" s="16" t="s">
        <v>26</v>
      </c>
      <c r="N24" s="17" t="s">
        <v>27</v>
      </c>
      <c r="O24" s="17" t="s">
        <v>28</v>
      </c>
      <c r="P24" s="17" t="s">
        <v>28</v>
      </c>
      <c r="Q24" s="17" t="s">
        <v>28</v>
      </c>
      <c r="R24" s="17" t="s">
        <v>28</v>
      </c>
    </row>
    <row r="25" spans="1:18">
      <c r="A25" s="4" t="s">
        <v>80</v>
      </c>
      <c r="B25" s="4" t="s">
        <v>131</v>
      </c>
      <c r="C25" s="4" t="s">
        <v>132</v>
      </c>
      <c r="D25" s="4" t="s">
        <v>133</v>
      </c>
      <c r="E25" s="4" t="s">
        <v>51</v>
      </c>
      <c r="F25" s="4" t="s">
        <v>52</v>
      </c>
      <c r="G25" s="14">
        <v>4046.8</v>
      </c>
      <c r="H25" s="15">
        <v>0.999985173690219</v>
      </c>
      <c r="I25" s="4" t="s">
        <v>134</v>
      </c>
      <c r="J25" s="4" t="s">
        <v>126</v>
      </c>
      <c r="K25" s="4">
        <f t="shared" si="0"/>
        <v>4</v>
      </c>
      <c r="L25" s="4" t="str">
        <f t="shared" si="1"/>
        <v>Low</v>
      </c>
      <c r="M25" s="16" t="s">
        <v>26</v>
      </c>
      <c r="N25" s="17" t="s">
        <v>27</v>
      </c>
      <c r="O25" s="17" t="s">
        <v>28</v>
      </c>
      <c r="P25" s="17" t="s">
        <v>28</v>
      </c>
      <c r="Q25" s="17" t="s">
        <v>28</v>
      </c>
      <c r="R25" s="17" t="s">
        <v>28</v>
      </c>
    </row>
    <row r="26" spans="1:18">
      <c r="A26" s="4" t="s">
        <v>80</v>
      </c>
      <c r="B26" s="4" t="s">
        <v>135</v>
      </c>
      <c r="C26" s="4" t="s">
        <v>136</v>
      </c>
      <c r="D26" s="4" t="s">
        <v>108</v>
      </c>
      <c r="E26" s="4" t="s">
        <v>22</v>
      </c>
      <c r="F26" s="4" t="s">
        <v>23</v>
      </c>
      <c r="G26" s="14">
        <v>2484.1</v>
      </c>
      <c r="H26" s="15">
        <v>0.613833935446247</v>
      </c>
      <c r="I26" s="4" t="s">
        <v>137</v>
      </c>
      <c r="J26" s="4" t="s">
        <v>126</v>
      </c>
      <c r="K26" s="4">
        <f t="shared" si="0"/>
        <v>6</v>
      </c>
      <c r="L26" s="4" t="str">
        <f t="shared" si="1"/>
        <v>Medium</v>
      </c>
      <c r="M26" s="16" t="s">
        <v>26</v>
      </c>
      <c r="N26" s="17" t="s">
        <v>27</v>
      </c>
      <c r="O26" s="17" t="s">
        <v>28</v>
      </c>
      <c r="P26" s="17" t="s">
        <v>28</v>
      </c>
      <c r="Q26" s="17" t="s">
        <v>28</v>
      </c>
      <c r="R26" s="17" t="s">
        <v>28</v>
      </c>
    </row>
    <row r="27" spans="1:18">
      <c r="A27" s="4" t="s">
        <v>80</v>
      </c>
      <c r="B27" s="4" t="s">
        <v>138</v>
      </c>
      <c r="C27" s="4" t="s">
        <v>139</v>
      </c>
      <c r="D27" s="4" t="s">
        <v>119</v>
      </c>
      <c r="E27" s="4" t="s">
        <v>22</v>
      </c>
      <c r="F27" s="4" t="s">
        <v>23</v>
      </c>
      <c r="G27" s="14">
        <v>2043.2</v>
      </c>
      <c r="H27" s="15">
        <v>0.504885269072812</v>
      </c>
      <c r="I27" s="4" t="s">
        <v>140</v>
      </c>
      <c r="J27" s="4" t="s">
        <v>126</v>
      </c>
      <c r="K27" s="4">
        <f t="shared" si="0"/>
        <v>6</v>
      </c>
      <c r="L27" s="4" t="str">
        <f t="shared" si="1"/>
        <v>Medium</v>
      </c>
      <c r="M27" s="16" t="s">
        <v>26</v>
      </c>
      <c r="N27" s="17" t="s">
        <v>27</v>
      </c>
      <c r="O27" s="17" t="s">
        <v>28</v>
      </c>
      <c r="P27" s="17" t="s">
        <v>28</v>
      </c>
      <c r="Q27" s="17" t="s">
        <v>28</v>
      </c>
      <c r="R27" s="17" t="s">
        <v>28</v>
      </c>
    </row>
    <row r="28" spans="1:18">
      <c r="A28" s="4" t="s">
        <v>80</v>
      </c>
      <c r="B28" s="4" t="s">
        <v>141</v>
      </c>
      <c r="C28" s="4" t="s">
        <v>142</v>
      </c>
      <c r="D28" s="4" t="s">
        <v>143</v>
      </c>
      <c r="E28" s="4" t="s">
        <v>51</v>
      </c>
      <c r="F28" s="4" t="s">
        <v>52</v>
      </c>
      <c r="G28" s="14">
        <v>9408.8</v>
      </c>
      <c r="H28" s="15">
        <v>2.32496305777813</v>
      </c>
      <c r="I28" s="4" t="s">
        <v>144</v>
      </c>
      <c r="J28" s="4" t="s">
        <v>39</v>
      </c>
      <c r="K28" s="4">
        <f t="shared" si="0"/>
        <v>4</v>
      </c>
      <c r="L28" s="4" t="str">
        <f t="shared" si="1"/>
        <v>Low</v>
      </c>
      <c r="M28" s="16" t="s">
        <v>26</v>
      </c>
      <c r="N28" s="17" t="s">
        <v>27</v>
      </c>
      <c r="O28" s="17" t="s">
        <v>28</v>
      </c>
      <c r="P28" s="17" t="s">
        <v>28</v>
      </c>
      <c r="Q28" s="17" t="s">
        <v>28</v>
      </c>
      <c r="R28" s="17" t="s">
        <v>28</v>
      </c>
    </row>
    <row r="29" spans="1:18">
      <c r="A29" s="4" t="s">
        <v>80</v>
      </c>
      <c r="B29" s="4" t="s">
        <v>145</v>
      </c>
      <c r="C29" s="4" t="s">
        <v>146</v>
      </c>
      <c r="D29" s="4" t="s">
        <v>123</v>
      </c>
      <c r="E29" s="4" t="s">
        <v>22</v>
      </c>
      <c r="F29" s="4" t="s">
        <v>23</v>
      </c>
      <c r="G29" s="14">
        <v>7745.6</v>
      </c>
      <c r="H29" s="15">
        <v>1.91397775065112</v>
      </c>
      <c r="I29" s="4" t="s">
        <v>147</v>
      </c>
      <c r="J29" s="4" t="s">
        <v>39</v>
      </c>
      <c r="K29" s="4">
        <f t="shared" si="0"/>
        <v>5</v>
      </c>
      <c r="L29" s="4" t="str">
        <f t="shared" si="1"/>
        <v>Medium</v>
      </c>
      <c r="M29" s="16" t="s">
        <v>26</v>
      </c>
      <c r="N29" s="17" t="s">
        <v>27</v>
      </c>
      <c r="O29" s="17" t="s">
        <v>28</v>
      </c>
      <c r="P29" s="17" t="s">
        <v>28</v>
      </c>
      <c r="Q29" s="17" t="s">
        <v>28</v>
      </c>
      <c r="R29" s="17" t="s">
        <v>28</v>
      </c>
    </row>
    <row r="30" spans="1:18">
      <c r="A30" s="4" t="s">
        <v>80</v>
      </c>
      <c r="B30" s="4" t="s">
        <v>148</v>
      </c>
      <c r="C30" s="4" t="s">
        <v>82</v>
      </c>
      <c r="D30" s="4" t="s">
        <v>83</v>
      </c>
      <c r="E30" s="4" t="s">
        <v>22</v>
      </c>
      <c r="F30" s="4" t="s">
        <v>23</v>
      </c>
      <c r="G30" s="14">
        <v>4107.11</v>
      </c>
      <c r="H30" s="15">
        <v>1.01488808607167</v>
      </c>
      <c r="I30" s="4" t="s">
        <v>43</v>
      </c>
      <c r="J30" s="4" t="s">
        <v>39</v>
      </c>
      <c r="K30" s="4">
        <f t="shared" si="0"/>
        <v>5</v>
      </c>
      <c r="L30" s="4" t="str">
        <f t="shared" si="1"/>
        <v>Medium</v>
      </c>
      <c r="M30" s="16" t="s">
        <v>26</v>
      </c>
      <c r="N30" s="17" t="s">
        <v>27</v>
      </c>
      <c r="O30" s="17" t="s">
        <v>28</v>
      </c>
      <c r="P30" s="17" t="s">
        <v>28</v>
      </c>
      <c r="Q30" s="17" t="s">
        <v>28</v>
      </c>
      <c r="R30" s="17" t="s">
        <v>28</v>
      </c>
    </row>
    <row r="31" spans="1:18">
      <c r="A31" s="4" t="s">
        <v>80</v>
      </c>
      <c r="B31" s="4" t="s">
        <v>149</v>
      </c>
      <c r="C31" s="4" t="s">
        <v>150</v>
      </c>
      <c r="D31" s="4" t="s">
        <v>151</v>
      </c>
      <c r="E31" s="4" t="s">
        <v>51</v>
      </c>
      <c r="F31" s="4" t="s">
        <v>52</v>
      </c>
      <c r="G31" s="14">
        <v>4066.2</v>
      </c>
      <c r="H31" s="15">
        <v>1.00477901385272</v>
      </c>
      <c r="I31" s="4" t="s">
        <v>152</v>
      </c>
      <c r="J31" s="4" t="s">
        <v>39</v>
      </c>
      <c r="K31" s="4">
        <f t="shared" si="0"/>
        <v>3</v>
      </c>
      <c r="L31" s="4" t="str">
        <f t="shared" si="1"/>
        <v>Low</v>
      </c>
      <c r="M31" s="16" t="s">
        <v>26</v>
      </c>
      <c r="N31" s="17" t="s">
        <v>27</v>
      </c>
      <c r="O31" s="17" t="s">
        <v>28</v>
      </c>
      <c r="P31" s="17" t="s">
        <v>28</v>
      </c>
      <c r="Q31" s="17" t="s">
        <v>28</v>
      </c>
      <c r="R31" s="17" t="s">
        <v>28</v>
      </c>
    </row>
    <row r="32" spans="1:18">
      <c r="A32" s="4" t="s">
        <v>80</v>
      </c>
      <c r="B32" s="4" t="s">
        <v>153</v>
      </c>
      <c r="C32" s="4" t="s">
        <v>154</v>
      </c>
      <c r="D32" s="4" t="s">
        <v>143</v>
      </c>
      <c r="E32" s="4" t="s">
        <v>155</v>
      </c>
      <c r="F32" s="4" t="s">
        <v>23</v>
      </c>
      <c r="G32" s="14">
        <v>3709</v>
      </c>
      <c r="H32" s="15">
        <v>0.916513049623659</v>
      </c>
      <c r="I32" s="4" t="s">
        <v>156</v>
      </c>
      <c r="J32" s="4" t="s">
        <v>39</v>
      </c>
      <c r="K32" s="4">
        <f t="shared" si="0"/>
        <v>5</v>
      </c>
      <c r="L32" s="4" t="str">
        <f t="shared" si="1"/>
        <v>Medium</v>
      </c>
      <c r="M32" s="16" t="s">
        <v>26</v>
      </c>
      <c r="N32" s="17" t="s">
        <v>27</v>
      </c>
      <c r="O32" s="17" t="s">
        <v>28</v>
      </c>
      <c r="P32" s="17" t="s">
        <v>28</v>
      </c>
      <c r="Q32" s="17" t="s">
        <v>28</v>
      </c>
      <c r="R32" s="17" t="s">
        <v>28</v>
      </c>
    </row>
    <row r="33" spans="1:18">
      <c r="A33" s="4" t="s">
        <v>80</v>
      </c>
      <c r="B33" s="4" t="s">
        <v>157</v>
      </c>
      <c r="C33" s="4" t="s">
        <v>158</v>
      </c>
      <c r="D33" s="4" t="s">
        <v>159</v>
      </c>
      <c r="E33" s="4" t="s">
        <v>51</v>
      </c>
      <c r="F33" s="4" t="s">
        <v>52</v>
      </c>
      <c r="G33" s="14">
        <v>11381.6</v>
      </c>
      <c r="H33" s="15">
        <v>2.81245212337467</v>
      </c>
      <c r="I33" s="4" t="s">
        <v>160</v>
      </c>
      <c r="J33" s="4" t="s">
        <v>161</v>
      </c>
      <c r="K33" s="4">
        <f t="shared" si="0"/>
        <v>4</v>
      </c>
      <c r="L33" s="4" t="str">
        <f t="shared" si="1"/>
        <v>Low</v>
      </c>
      <c r="M33" s="16" t="s">
        <v>26</v>
      </c>
      <c r="N33" s="17" t="s">
        <v>27</v>
      </c>
      <c r="O33" s="17" t="s">
        <v>28</v>
      </c>
      <c r="P33" s="17" t="s">
        <v>28</v>
      </c>
      <c r="Q33" s="17" t="s">
        <v>28</v>
      </c>
      <c r="R33" s="17" t="s">
        <v>28</v>
      </c>
    </row>
    <row r="34" spans="1:18">
      <c r="A34" s="4" t="s">
        <v>80</v>
      </c>
      <c r="B34" s="4" t="s">
        <v>162</v>
      </c>
      <c r="C34" s="4" t="s">
        <v>163</v>
      </c>
      <c r="D34" s="4" t="s">
        <v>123</v>
      </c>
      <c r="E34" s="4" t="s">
        <v>58</v>
      </c>
      <c r="F34" s="4" t="s">
        <v>59</v>
      </c>
      <c r="G34" s="14">
        <v>8305.6</v>
      </c>
      <c r="H34" s="15">
        <v>2.05235664193968</v>
      </c>
      <c r="I34" s="4" t="s">
        <v>164</v>
      </c>
      <c r="J34" s="4" t="s">
        <v>161</v>
      </c>
      <c r="K34" s="4">
        <f t="shared" si="0"/>
        <v>5</v>
      </c>
      <c r="L34" s="4" t="str">
        <f t="shared" si="1"/>
        <v>Medium</v>
      </c>
      <c r="M34" s="16" t="s">
        <v>26</v>
      </c>
      <c r="N34" s="17" t="s">
        <v>27</v>
      </c>
      <c r="O34" s="17" t="s">
        <v>28</v>
      </c>
      <c r="P34" s="17" t="s">
        <v>28</v>
      </c>
      <c r="Q34" s="17" t="s">
        <v>28</v>
      </c>
      <c r="R34" s="17" t="s">
        <v>28</v>
      </c>
    </row>
    <row r="35" spans="1:18">
      <c r="A35" s="4" t="s">
        <v>80</v>
      </c>
      <c r="B35" s="4" t="s">
        <v>165</v>
      </c>
      <c r="C35" s="4" t="s">
        <v>166</v>
      </c>
      <c r="D35" s="4" t="s">
        <v>167</v>
      </c>
      <c r="E35" s="4" t="s">
        <v>51</v>
      </c>
      <c r="F35" s="4" t="s">
        <v>52</v>
      </c>
      <c r="G35" s="14">
        <v>8090.8</v>
      </c>
      <c r="H35" s="15">
        <v>1.999278452924</v>
      </c>
      <c r="I35" s="4" t="s">
        <v>168</v>
      </c>
      <c r="J35" s="4" t="s">
        <v>161</v>
      </c>
      <c r="K35" s="4">
        <f t="shared" si="0"/>
        <v>3</v>
      </c>
      <c r="L35" s="4" t="str">
        <f t="shared" si="1"/>
        <v>Low</v>
      </c>
      <c r="M35" s="16" t="s">
        <v>26</v>
      </c>
      <c r="N35" s="17" t="s">
        <v>27</v>
      </c>
      <c r="O35" s="17" t="s">
        <v>28</v>
      </c>
      <c r="P35" s="17" t="s">
        <v>28</v>
      </c>
      <c r="Q35" s="17" t="s">
        <v>28</v>
      </c>
      <c r="R35" s="17" t="s">
        <v>28</v>
      </c>
    </row>
    <row r="36" spans="1:18">
      <c r="A36" s="4" t="s">
        <v>80</v>
      </c>
      <c r="B36" s="4" t="s">
        <v>169</v>
      </c>
      <c r="C36" s="4" t="s">
        <v>170</v>
      </c>
      <c r="D36" s="4" t="s">
        <v>151</v>
      </c>
      <c r="E36" s="4" t="s">
        <v>22</v>
      </c>
      <c r="F36" s="4" t="s">
        <v>23</v>
      </c>
      <c r="G36" s="14">
        <v>8055.9</v>
      </c>
      <c r="H36" s="15">
        <v>1.99065448273476</v>
      </c>
      <c r="I36" s="4" t="s">
        <v>171</v>
      </c>
      <c r="J36" s="4" t="s">
        <v>161</v>
      </c>
      <c r="K36" s="4">
        <f t="shared" si="0"/>
        <v>5</v>
      </c>
      <c r="L36" s="4" t="str">
        <f t="shared" si="1"/>
        <v>Medium</v>
      </c>
      <c r="M36" s="16" t="s">
        <v>26</v>
      </c>
      <c r="N36" s="17" t="s">
        <v>27</v>
      </c>
      <c r="O36" s="17" t="s">
        <v>28</v>
      </c>
      <c r="P36" s="17" t="s">
        <v>28</v>
      </c>
      <c r="Q36" s="17" t="s">
        <v>28</v>
      </c>
      <c r="R36" s="17" t="s">
        <v>28</v>
      </c>
    </row>
    <row r="37" spans="1:18">
      <c r="A37" s="4" t="s">
        <v>80</v>
      </c>
      <c r="B37" s="4" t="s">
        <v>172</v>
      </c>
      <c r="C37" s="4" t="s">
        <v>173</v>
      </c>
      <c r="D37" s="4" t="s">
        <v>133</v>
      </c>
      <c r="E37" s="4" t="s">
        <v>51</v>
      </c>
      <c r="F37" s="4" t="s">
        <v>52</v>
      </c>
      <c r="G37" s="14">
        <v>4476.79</v>
      </c>
      <c r="H37" s="15">
        <v>1.10623792273516</v>
      </c>
      <c r="I37" s="4" t="s">
        <v>174</v>
      </c>
      <c r="J37" s="4" t="s">
        <v>161</v>
      </c>
      <c r="K37" s="4">
        <f t="shared" si="0"/>
        <v>3</v>
      </c>
      <c r="L37" s="4" t="str">
        <f t="shared" si="1"/>
        <v>Low</v>
      </c>
      <c r="M37" s="16" t="s">
        <v>26</v>
      </c>
      <c r="N37" s="17" t="s">
        <v>27</v>
      </c>
      <c r="O37" s="17" t="s">
        <v>28</v>
      </c>
      <c r="P37" s="17" t="s">
        <v>28</v>
      </c>
      <c r="Q37" s="17" t="s">
        <v>28</v>
      </c>
      <c r="R37" s="17" t="s">
        <v>28</v>
      </c>
    </row>
    <row r="38" spans="1:18">
      <c r="A38" s="4" t="s">
        <v>80</v>
      </c>
      <c r="B38" s="4" t="s">
        <v>175</v>
      </c>
      <c r="C38" s="4" t="s">
        <v>176</v>
      </c>
      <c r="D38" s="4" t="s">
        <v>112</v>
      </c>
      <c r="E38" s="4" t="s">
        <v>22</v>
      </c>
      <c r="F38" s="4" t="s">
        <v>23</v>
      </c>
      <c r="G38" s="14">
        <v>2355.2</v>
      </c>
      <c r="H38" s="15">
        <v>0.581982079933578</v>
      </c>
      <c r="I38" s="4" t="s">
        <v>177</v>
      </c>
      <c r="J38" s="4" t="s">
        <v>161</v>
      </c>
      <c r="K38" s="4">
        <f t="shared" si="0"/>
        <v>5</v>
      </c>
      <c r="L38" s="4" t="str">
        <f t="shared" si="1"/>
        <v>Medium</v>
      </c>
      <c r="M38" s="16" t="s">
        <v>26</v>
      </c>
      <c r="N38" s="17" t="s">
        <v>27</v>
      </c>
      <c r="O38" s="17" t="s">
        <v>28</v>
      </c>
      <c r="P38" s="17" t="s">
        <v>28</v>
      </c>
      <c r="Q38" s="17" t="s">
        <v>28</v>
      </c>
      <c r="R38" s="17" t="s">
        <v>28</v>
      </c>
    </row>
    <row r="39" spans="1:18">
      <c r="A39" s="4" t="s">
        <v>80</v>
      </c>
      <c r="B39" s="4" t="s">
        <v>178</v>
      </c>
      <c r="C39" s="4" t="s">
        <v>179</v>
      </c>
      <c r="D39" s="4" t="s">
        <v>123</v>
      </c>
      <c r="E39" s="4" t="s">
        <v>22</v>
      </c>
      <c r="F39" s="4" t="s">
        <v>23</v>
      </c>
      <c r="G39" s="14">
        <v>20198.3</v>
      </c>
      <c r="H39" s="15">
        <v>4.99110421413145</v>
      </c>
      <c r="I39" s="4" t="s">
        <v>180</v>
      </c>
      <c r="J39" s="4" t="s">
        <v>54</v>
      </c>
      <c r="K39" s="4">
        <f t="shared" si="0"/>
        <v>7</v>
      </c>
      <c r="L39" s="4" t="str">
        <f t="shared" si="1"/>
        <v>High</v>
      </c>
      <c r="M39" s="16" t="s">
        <v>26</v>
      </c>
      <c r="N39" s="17" t="s">
        <v>27</v>
      </c>
      <c r="O39" s="17" t="s">
        <v>28</v>
      </c>
      <c r="P39" s="17" t="s">
        <v>28</v>
      </c>
      <c r="Q39" s="17" t="s">
        <v>28</v>
      </c>
      <c r="R39" s="17" t="s">
        <v>28</v>
      </c>
    </row>
    <row r="40" spans="1:18">
      <c r="A40" s="4" t="s">
        <v>80</v>
      </c>
      <c r="B40" s="4" t="s">
        <v>181</v>
      </c>
      <c r="C40" s="4" t="s">
        <v>182</v>
      </c>
      <c r="D40" s="4" t="s">
        <v>123</v>
      </c>
      <c r="E40" s="4" t="s">
        <v>22</v>
      </c>
      <c r="F40" s="4" t="s">
        <v>23</v>
      </c>
      <c r="G40" s="14">
        <v>16843.7</v>
      </c>
      <c r="H40" s="15">
        <v>4.1621652342804</v>
      </c>
      <c r="I40" s="4" t="s">
        <v>183</v>
      </c>
      <c r="J40" s="4" t="s">
        <v>54</v>
      </c>
      <c r="K40" s="4">
        <f t="shared" si="0"/>
        <v>7</v>
      </c>
      <c r="L40" s="4" t="str">
        <f t="shared" si="1"/>
        <v>High</v>
      </c>
      <c r="M40" s="16" t="s">
        <v>26</v>
      </c>
      <c r="N40" s="17" t="s">
        <v>27</v>
      </c>
      <c r="O40" s="17" t="s">
        <v>28</v>
      </c>
      <c r="P40" s="17" t="s">
        <v>28</v>
      </c>
      <c r="Q40" s="17" t="s">
        <v>28</v>
      </c>
      <c r="R40" s="17" t="s">
        <v>28</v>
      </c>
    </row>
    <row r="41" spans="1:18">
      <c r="A41" s="4" t="s">
        <v>80</v>
      </c>
      <c r="B41" s="4" t="s">
        <v>184</v>
      </c>
      <c r="C41" s="4" t="s">
        <v>185</v>
      </c>
      <c r="D41" s="4" t="s">
        <v>186</v>
      </c>
      <c r="E41" s="4" t="s">
        <v>187</v>
      </c>
      <c r="F41" s="4" t="s">
        <v>23</v>
      </c>
      <c r="G41" s="14"/>
      <c r="H41" s="15"/>
      <c r="I41" s="4" t="s">
        <v>188</v>
      </c>
      <c r="J41" s="4" t="s">
        <v>61</v>
      </c>
      <c r="K41" s="4">
        <f t="shared" si="0"/>
        <v>4</v>
      </c>
      <c r="L41" s="4" t="str">
        <f t="shared" si="1"/>
        <v>Low</v>
      </c>
      <c r="M41" s="16" t="s">
        <v>26</v>
      </c>
      <c r="N41" s="17" t="s">
        <v>27</v>
      </c>
      <c r="O41" s="17" t="s">
        <v>28</v>
      </c>
      <c r="P41" s="17" t="s">
        <v>28</v>
      </c>
      <c r="Q41" s="17" t="s">
        <v>28</v>
      </c>
      <c r="R41" s="17" t="s">
        <v>28</v>
      </c>
    </row>
    <row r="42" spans="1:18">
      <c r="A42" s="4" t="s">
        <v>80</v>
      </c>
      <c r="B42" s="4" t="s">
        <v>189</v>
      </c>
      <c r="C42" s="4" t="s">
        <v>190</v>
      </c>
      <c r="D42" s="4" t="s">
        <v>191</v>
      </c>
      <c r="E42" s="4" t="s">
        <v>187</v>
      </c>
      <c r="F42" s="4" t="s">
        <v>23</v>
      </c>
      <c r="G42" s="14"/>
      <c r="H42" s="15"/>
      <c r="I42" s="4" t="s">
        <v>192</v>
      </c>
      <c r="J42" s="4" t="s">
        <v>61</v>
      </c>
      <c r="K42" s="4">
        <f t="shared" si="0"/>
        <v>4</v>
      </c>
      <c r="L42" s="4" t="str">
        <f t="shared" si="1"/>
        <v>Low</v>
      </c>
      <c r="M42" s="16" t="s">
        <v>26</v>
      </c>
      <c r="N42" s="17" t="s">
        <v>27</v>
      </c>
      <c r="O42" s="17" t="s">
        <v>28</v>
      </c>
      <c r="P42" s="17" t="s">
        <v>28</v>
      </c>
      <c r="Q42" s="17" t="s">
        <v>28</v>
      </c>
      <c r="R42" s="17" t="s">
        <v>28</v>
      </c>
    </row>
    <row r="43" spans="1:18">
      <c r="A43" s="4" t="s">
        <v>80</v>
      </c>
      <c r="B43" s="4" t="s">
        <v>193</v>
      </c>
      <c r="C43" s="4" t="s">
        <v>194</v>
      </c>
      <c r="D43" s="4" t="s">
        <v>143</v>
      </c>
      <c r="E43" s="4" t="s">
        <v>124</v>
      </c>
      <c r="F43" s="4" t="s">
        <v>23</v>
      </c>
      <c r="G43" s="14"/>
      <c r="H43" s="15"/>
      <c r="I43" s="4" t="s">
        <v>195</v>
      </c>
      <c r="J43" s="4" t="s">
        <v>68</v>
      </c>
      <c r="K43" s="4">
        <f t="shared" si="0"/>
        <v>4</v>
      </c>
      <c r="L43" s="4" t="str">
        <f t="shared" si="1"/>
        <v>Low</v>
      </c>
      <c r="M43" s="16" t="s">
        <v>26</v>
      </c>
      <c r="N43" s="17" t="s">
        <v>27</v>
      </c>
      <c r="O43" s="17" t="s">
        <v>28</v>
      </c>
      <c r="P43" s="17" t="s">
        <v>28</v>
      </c>
      <c r="Q43" s="17" t="s">
        <v>28</v>
      </c>
      <c r="R43" s="17" t="s">
        <v>28</v>
      </c>
    </row>
    <row r="44" spans="1:18">
      <c r="A44" s="4" t="s">
        <v>80</v>
      </c>
      <c r="B44" s="4" t="s">
        <v>196</v>
      </c>
      <c r="C44" s="4" t="s">
        <v>197</v>
      </c>
      <c r="D44" s="4" t="s">
        <v>119</v>
      </c>
      <c r="E44" s="4" t="s">
        <v>124</v>
      </c>
      <c r="F44" s="4" t="s">
        <v>23</v>
      </c>
      <c r="G44" s="14"/>
      <c r="H44" s="15"/>
      <c r="I44" s="4" t="s">
        <v>198</v>
      </c>
      <c r="J44" s="4" t="s">
        <v>68</v>
      </c>
      <c r="K44" s="4">
        <f t="shared" si="0"/>
        <v>4</v>
      </c>
      <c r="L44" s="4" t="str">
        <f t="shared" si="1"/>
        <v>Low</v>
      </c>
      <c r="M44" s="16" t="s">
        <v>26</v>
      </c>
      <c r="N44" s="17" t="s">
        <v>27</v>
      </c>
      <c r="O44" s="17" t="s">
        <v>28</v>
      </c>
      <c r="P44" s="17" t="s">
        <v>28</v>
      </c>
      <c r="Q44" s="17" t="s">
        <v>28</v>
      </c>
      <c r="R44" s="17" t="s">
        <v>28</v>
      </c>
    </row>
    <row r="45" spans="1:18">
      <c r="A45" s="4" t="s">
        <v>199</v>
      </c>
      <c r="B45" s="4" t="s">
        <v>200</v>
      </c>
      <c r="C45" s="4" t="s">
        <v>201</v>
      </c>
      <c r="D45" s="4" t="s">
        <v>202</v>
      </c>
      <c r="E45" s="4" t="s">
        <v>32</v>
      </c>
      <c r="F45" s="4" t="s">
        <v>33</v>
      </c>
      <c r="G45" s="14">
        <v>8566.06</v>
      </c>
      <c r="H45" s="15">
        <v>2.11671765269863</v>
      </c>
      <c r="I45" s="4" t="s">
        <v>203</v>
      </c>
      <c r="J45" s="4" t="s">
        <v>25</v>
      </c>
      <c r="K45" s="4">
        <f t="shared" si="0"/>
        <v>8</v>
      </c>
      <c r="L45" s="4" t="str">
        <f t="shared" si="1"/>
        <v>High</v>
      </c>
      <c r="M45" s="16" t="s">
        <v>26</v>
      </c>
      <c r="N45" s="17" t="s">
        <v>27</v>
      </c>
      <c r="O45" s="17" t="s">
        <v>28</v>
      </c>
      <c r="P45" s="17" t="s">
        <v>28</v>
      </c>
      <c r="Q45" s="17" t="s">
        <v>28</v>
      </c>
      <c r="R45" s="17" t="s">
        <v>28</v>
      </c>
    </row>
    <row r="46" spans="1:18">
      <c r="A46" s="4" t="s">
        <v>199</v>
      </c>
      <c r="B46" s="4" t="s">
        <v>204</v>
      </c>
      <c r="C46" s="4" t="s">
        <v>205</v>
      </c>
      <c r="D46" s="4" t="s">
        <v>206</v>
      </c>
      <c r="E46" s="4" t="s">
        <v>155</v>
      </c>
      <c r="F46" s="4" t="s">
        <v>23</v>
      </c>
      <c r="G46" s="14">
        <v>6885.42</v>
      </c>
      <c r="H46" s="15">
        <v>1.70142283152864</v>
      </c>
      <c r="I46" s="4" t="s">
        <v>207</v>
      </c>
      <c r="J46" s="4" t="s">
        <v>25</v>
      </c>
      <c r="K46" s="4">
        <f t="shared" si="0"/>
        <v>6</v>
      </c>
      <c r="L46" s="4" t="str">
        <f t="shared" si="1"/>
        <v>Medium</v>
      </c>
      <c r="M46" s="16" t="s">
        <v>26</v>
      </c>
      <c r="N46" s="17" t="s">
        <v>27</v>
      </c>
      <c r="O46" s="17" t="s">
        <v>28</v>
      </c>
      <c r="P46" s="17" t="s">
        <v>28</v>
      </c>
      <c r="Q46" s="17" t="s">
        <v>28</v>
      </c>
      <c r="R46" s="17" t="s">
        <v>28</v>
      </c>
    </row>
    <row r="47" spans="1:18">
      <c r="A47" s="4" t="s">
        <v>199</v>
      </c>
      <c r="B47" s="4" t="s">
        <v>208</v>
      </c>
      <c r="C47" s="4" t="s">
        <v>209</v>
      </c>
      <c r="D47" s="4" t="s">
        <v>210</v>
      </c>
      <c r="E47" s="4" t="s">
        <v>22</v>
      </c>
      <c r="F47" s="4" t="s">
        <v>23</v>
      </c>
      <c r="G47" s="14">
        <v>4870.61</v>
      </c>
      <c r="H47" s="15">
        <v>1.20355287803383</v>
      </c>
      <c r="I47" s="4" t="s">
        <v>85</v>
      </c>
      <c r="J47" s="4" t="s">
        <v>25</v>
      </c>
      <c r="K47" s="4">
        <f t="shared" si="0"/>
        <v>6</v>
      </c>
      <c r="L47" s="4" t="str">
        <f t="shared" si="1"/>
        <v>Medium</v>
      </c>
      <c r="M47" s="16" t="s">
        <v>26</v>
      </c>
      <c r="N47" s="17" t="s">
        <v>27</v>
      </c>
      <c r="O47" s="17" t="s">
        <v>28</v>
      </c>
      <c r="P47" s="17" t="s">
        <v>28</v>
      </c>
      <c r="Q47" s="17" t="s">
        <v>28</v>
      </c>
      <c r="R47" s="17" t="s">
        <v>28</v>
      </c>
    </row>
    <row r="48" spans="1:18">
      <c r="A48" s="4" t="s">
        <v>199</v>
      </c>
      <c r="B48" s="4" t="s">
        <v>211</v>
      </c>
      <c r="C48" s="4" t="s">
        <v>212</v>
      </c>
      <c r="D48" s="4" t="s">
        <v>213</v>
      </c>
      <c r="E48" s="4" t="s">
        <v>214</v>
      </c>
      <c r="F48" s="4" t="s">
        <v>33</v>
      </c>
      <c r="G48" s="14">
        <v>4472.7</v>
      </c>
      <c r="H48" s="15">
        <v>1.10522726261842</v>
      </c>
      <c r="I48" s="4" t="s">
        <v>215</v>
      </c>
      <c r="J48" s="4" t="s">
        <v>25</v>
      </c>
      <c r="K48" s="4">
        <f t="shared" si="0"/>
        <v>7</v>
      </c>
      <c r="L48" s="4" t="str">
        <f t="shared" si="1"/>
        <v>High</v>
      </c>
      <c r="M48" s="16" t="s">
        <v>26</v>
      </c>
      <c r="N48" s="17" t="s">
        <v>27</v>
      </c>
      <c r="O48" s="17" t="s">
        <v>28</v>
      </c>
      <c r="P48" s="17" t="s">
        <v>28</v>
      </c>
      <c r="Q48" s="17" t="s">
        <v>28</v>
      </c>
      <c r="R48" s="17" t="s">
        <v>28</v>
      </c>
    </row>
    <row r="49" spans="1:18">
      <c r="A49" s="4" t="s">
        <v>199</v>
      </c>
      <c r="B49" s="4" t="s">
        <v>216</v>
      </c>
      <c r="C49" s="4" t="s">
        <v>217</v>
      </c>
      <c r="D49" s="4" t="s">
        <v>202</v>
      </c>
      <c r="E49" s="4" t="s">
        <v>58</v>
      </c>
      <c r="F49" s="4" t="s">
        <v>59</v>
      </c>
      <c r="G49" s="14">
        <v>24236.5</v>
      </c>
      <c r="H49" s="15">
        <v>5.98896428341974</v>
      </c>
      <c r="I49" s="4" t="s">
        <v>218</v>
      </c>
      <c r="J49" s="4" t="s">
        <v>35</v>
      </c>
      <c r="K49" s="4">
        <f t="shared" si="0"/>
        <v>7</v>
      </c>
      <c r="L49" s="4" t="str">
        <f t="shared" si="1"/>
        <v>High</v>
      </c>
      <c r="M49" s="16" t="s">
        <v>26</v>
      </c>
      <c r="N49" s="17" t="s">
        <v>27</v>
      </c>
      <c r="O49" s="17" t="s">
        <v>28</v>
      </c>
      <c r="P49" s="17" t="s">
        <v>28</v>
      </c>
      <c r="Q49" s="17" t="s">
        <v>28</v>
      </c>
      <c r="R49" s="17" t="s">
        <v>28</v>
      </c>
    </row>
    <row r="50" spans="1:18">
      <c r="A50" s="4" t="s">
        <v>199</v>
      </c>
      <c r="B50" s="4" t="s">
        <v>219</v>
      </c>
      <c r="C50" s="4" t="s">
        <v>220</v>
      </c>
      <c r="D50" s="4" t="s">
        <v>221</v>
      </c>
      <c r="E50" s="4" t="s">
        <v>58</v>
      </c>
      <c r="F50" s="4" t="s">
        <v>59</v>
      </c>
      <c r="G50" s="14">
        <v>8101.7</v>
      </c>
      <c r="H50" s="15">
        <v>2.00197189920086</v>
      </c>
      <c r="I50" s="4" t="s">
        <v>222</v>
      </c>
      <c r="J50" s="4" t="s">
        <v>35</v>
      </c>
      <c r="K50" s="4">
        <f t="shared" si="0"/>
        <v>6</v>
      </c>
      <c r="L50" s="4" t="str">
        <f t="shared" si="1"/>
        <v>Medium</v>
      </c>
      <c r="M50" s="16" t="s">
        <v>26</v>
      </c>
      <c r="N50" s="17" t="s">
        <v>27</v>
      </c>
      <c r="O50" s="17" t="s">
        <v>28</v>
      </c>
      <c r="P50" s="17" t="s">
        <v>28</v>
      </c>
      <c r="Q50" s="17" t="s">
        <v>28</v>
      </c>
      <c r="R50" s="17" t="s">
        <v>28</v>
      </c>
    </row>
    <row r="51" spans="1:18">
      <c r="A51" s="4" t="s">
        <v>199</v>
      </c>
      <c r="B51" s="4" t="s">
        <v>223</v>
      </c>
      <c r="C51" s="4" t="s">
        <v>224</v>
      </c>
      <c r="D51" s="4" t="s">
        <v>225</v>
      </c>
      <c r="E51" s="4" t="s">
        <v>124</v>
      </c>
      <c r="F51" s="4" t="s">
        <v>23</v>
      </c>
      <c r="G51" s="14">
        <v>1214.05</v>
      </c>
      <c r="H51" s="15">
        <v>0.299998023158696</v>
      </c>
      <c r="I51" s="4" t="s">
        <v>226</v>
      </c>
      <c r="J51" s="4" t="s">
        <v>35</v>
      </c>
      <c r="K51" s="4">
        <f t="shared" si="0"/>
        <v>6</v>
      </c>
      <c r="L51" s="4" t="str">
        <f t="shared" si="1"/>
        <v>Medium</v>
      </c>
      <c r="M51" s="16" t="s">
        <v>26</v>
      </c>
      <c r="N51" s="17" t="s">
        <v>27</v>
      </c>
      <c r="O51" s="17" t="s">
        <v>28</v>
      </c>
      <c r="P51" s="17" t="s">
        <v>28</v>
      </c>
      <c r="Q51" s="17" t="s">
        <v>28</v>
      </c>
      <c r="R51" s="17" t="s">
        <v>28</v>
      </c>
    </row>
    <row r="52" spans="1:18">
      <c r="A52" s="4" t="s">
        <v>199</v>
      </c>
      <c r="B52" s="4" t="s">
        <v>227</v>
      </c>
      <c r="C52" s="4" t="s">
        <v>228</v>
      </c>
      <c r="D52" s="4" t="s">
        <v>229</v>
      </c>
      <c r="E52" s="4" t="s">
        <v>32</v>
      </c>
      <c r="F52" s="4" t="s">
        <v>33</v>
      </c>
      <c r="G52" s="14">
        <v>19967.7</v>
      </c>
      <c r="H52" s="15">
        <v>4.93412176354013</v>
      </c>
      <c r="I52" s="4" t="s">
        <v>230</v>
      </c>
      <c r="J52" s="4" t="s">
        <v>126</v>
      </c>
      <c r="K52" s="4">
        <f t="shared" si="0"/>
        <v>9</v>
      </c>
      <c r="L52" s="4" t="str">
        <f t="shared" si="1"/>
        <v>High</v>
      </c>
      <c r="M52" s="16" t="s">
        <v>26</v>
      </c>
      <c r="N52" s="17" t="s">
        <v>27</v>
      </c>
      <c r="O52" s="17" t="s">
        <v>28</v>
      </c>
      <c r="P52" s="17" t="s">
        <v>28</v>
      </c>
      <c r="Q52" s="17" t="s">
        <v>28</v>
      </c>
      <c r="R52" s="17" t="s">
        <v>28</v>
      </c>
    </row>
    <row r="53" spans="1:18">
      <c r="A53" s="4" t="s">
        <v>199</v>
      </c>
      <c r="B53" s="4" t="s">
        <v>231</v>
      </c>
      <c r="C53" s="4" t="s">
        <v>232</v>
      </c>
      <c r="D53" s="4" t="s">
        <v>233</v>
      </c>
      <c r="E53" s="4" t="s">
        <v>58</v>
      </c>
      <c r="F53" s="4" t="s">
        <v>59</v>
      </c>
      <c r="G53" s="14">
        <v>14540</v>
      </c>
      <c r="H53" s="15">
        <v>3.59290907024211</v>
      </c>
      <c r="I53" s="4" t="s">
        <v>234</v>
      </c>
      <c r="J53" s="4" t="s">
        <v>126</v>
      </c>
      <c r="K53" s="4">
        <f t="shared" si="0"/>
        <v>6</v>
      </c>
      <c r="L53" s="4" t="str">
        <f t="shared" si="1"/>
        <v>Medium</v>
      </c>
      <c r="M53" s="16" t="s">
        <v>26</v>
      </c>
      <c r="N53" s="17" t="s">
        <v>27</v>
      </c>
      <c r="O53" s="17" t="s">
        <v>28</v>
      </c>
      <c r="P53" s="17" t="s">
        <v>28</v>
      </c>
      <c r="Q53" s="17" t="s">
        <v>28</v>
      </c>
      <c r="R53" s="17" t="s">
        <v>28</v>
      </c>
    </row>
    <row r="54" spans="1:18">
      <c r="A54" s="4" t="s">
        <v>199</v>
      </c>
      <c r="B54" s="4" t="s">
        <v>235</v>
      </c>
      <c r="C54" s="4" t="s">
        <v>236</v>
      </c>
      <c r="D54" s="4" t="s">
        <v>237</v>
      </c>
      <c r="E54" s="4" t="s">
        <v>51</v>
      </c>
      <c r="F54" s="4" t="s">
        <v>52</v>
      </c>
      <c r="G54" s="14">
        <v>5842.6</v>
      </c>
      <c r="H54" s="15">
        <v>1.44373662543305</v>
      </c>
      <c r="I54" s="4" t="s">
        <v>234</v>
      </c>
      <c r="J54" s="4" t="s">
        <v>126</v>
      </c>
      <c r="K54" s="4">
        <f t="shared" si="0"/>
        <v>4</v>
      </c>
      <c r="L54" s="4" t="str">
        <f t="shared" si="1"/>
        <v>Low</v>
      </c>
      <c r="M54" s="16" t="s">
        <v>26</v>
      </c>
      <c r="N54" s="17" t="s">
        <v>27</v>
      </c>
      <c r="O54" s="17" t="s">
        <v>28</v>
      </c>
      <c r="P54" s="17" t="s">
        <v>28</v>
      </c>
      <c r="Q54" s="17" t="s">
        <v>28</v>
      </c>
      <c r="R54" s="17" t="s">
        <v>28</v>
      </c>
    </row>
    <row r="55" spans="1:18">
      <c r="A55" s="4" t="s">
        <v>199</v>
      </c>
      <c r="B55" s="4" t="s">
        <v>238</v>
      </c>
      <c r="C55" s="4" t="s">
        <v>239</v>
      </c>
      <c r="D55" s="4" t="s">
        <v>210</v>
      </c>
      <c r="E55" s="4" t="s">
        <v>32</v>
      </c>
      <c r="F55" s="4" t="s">
        <v>33</v>
      </c>
      <c r="G55" s="14">
        <v>2998.58</v>
      </c>
      <c r="H55" s="15">
        <v>0.740964599714346</v>
      </c>
      <c r="I55" s="4" t="s">
        <v>240</v>
      </c>
      <c r="J55" s="4" t="s">
        <v>39</v>
      </c>
      <c r="K55" s="4">
        <f t="shared" si="0"/>
        <v>6</v>
      </c>
      <c r="L55" s="4" t="str">
        <f t="shared" si="1"/>
        <v>Medium</v>
      </c>
      <c r="M55" s="16" t="s">
        <v>26</v>
      </c>
      <c r="N55" s="17" t="s">
        <v>27</v>
      </c>
      <c r="O55" s="17" t="s">
        <v>28</v>
      </c>
      <c r="P55" s="17" t="s">
        <v>28</v>
      </c>
      <c r="Q55" s="17" t="s">
        <v>28</v>
      </c>
      <c r="R55" s="17" t="s">
        <v>28</v>
      </c>
    </row>
    <row r="56" spans="1:18">
      <c r="A56" s="4" t="s">
        <v>199</v>
      </c>
      <c r="B56" s="4" t="s">
        <v>241</v>
      </c>
      <c r="C56" s="4" t="s">
        <v>242</v>
      </c>
      <c r="D56" s="4" t="s">
        <v>229</v>
      </c>
      <c r="E56" s="4" t="s">
        <v>58</v>
      </c>
      <c r="F56" s="4" t="s">
        <v>59</v>
      </c>
      <c r="G56" s="14">
        <v>15180.9</v>
      </c>
      <c r="H56" s="15">
        <v>3.7512787692186</v>
      </c>
      <c r="I56" s="4" t="s">
        <v>243</v>
      </c>
      <c r="J56" s="4" t="s">
        <v>161</v>
      </c>
      <c r="K56" s="4">
        <f t="shared" si="0"/>
        <v>5</v>
      </c>
      <c r="L56" s="4" t="str">
        <f t="shared" si="1"/>
        <v>Medium</v>
      </c>
      <c r="M56" s="16" t="s">
        <v>26</v>
      </c>
      <c r="N56" s="17" t="s">
        <v>27</v>
      </c>
      <c r="O56" s="17" t="s">
        <v>28</v>
      </c>
      <c r="P56" s="17" t="s">
        <v>28</v>
      </c>
      <c r="Q56" s="17" t="s">
        <v>28</v>
      </c>
      <c r="R56" s="17" t="s">
        <v>28</v>
      </c>
    </row>
    <row r="57" spans="1:18">
      <c r="A57" s="4" t="s">
        <v>199</v>
      </c>
      <c r="B57" s="4" t="s">
        <v>244</v>
      </c>
      <c r="C57" s="4" t="s">
        <v>245</v>
      </c>
      <c r="D57" s="4" t="s">
        <v>225</v>
      </c>
      <c r="E57" s="4" t="s">
        <v>58</v>
      </c>
      <c r="F57" s="4" t="s">
        <v>59</v>
      </c>
      <c r="G57" s="14">
        <v>11014.9</v>
      </c>
      <c r="H57" s="15">
        <v>2.72183866009696</v>
      </c>
      <c r="I57" s="4" t="s">
        <v>246</v>
      </c>
      <c r="J57" s="4" t="s">
        <v>161</v>
      </c>
      <c r="K57" s="4">
        <f t="shared" si="0"/>
        <v>5</v>
      </c>
      <c r="L57" s="4" t="str">
        <f t="shared" si="1"/>
        <v>Medium</v>
      </c>
      <c r="M57" s="16" t="s">
        <v>26</v>
      </c>
      <c r="N57" s="17" t="s">
        <v>27</v>
      </c>
      <c r="O57" s="17" t="s">
        <v>28</v>
      </c>
      <c r="P57" s="17" t="s">
        <v>28</v>
      </c>
      <c r="Q57" s="17" t="s">
        <v>28</v>
      </c>
      <c r="R57" s="17" t="s">
        <v>28</v>
      </c>
    </row>
    <row r="58" spans="1:18">
      <c r="A58" s="4" t="s">
        <v>199</v>
      </c>
      <c r="B58" s="4" t="s">
        <v>247</v>
      </c>
      <c r="C58" s="4" t="s">
        <v>248</v>
      </c>
      <c r="D58" s="4" t="s">
        <v>249</v>
      </c>
      <c r="E58" s="4" t="s">
        <v>58</v>
      </c>
      <c r="F58" s="4" t="s">
        <v>59</v>
      </c>
      <c r="G58" s="14">
        <v>9611.3</v>
      </c>
      <c r="H58" s="15">
        <v>2.37500185328872</v>
      </c>
      <c r="I58" s="4" t="s">
        <v>250</v>
      </c>
      <c r="J58" s="4" t="s">
        <v>161</v>
      </c>
      <c r="K58" s="4">
        <f t="shared" si="0"/>
        <v>5</v>
      </c>
      <c r="L58" s="4" t="str">
        <f t="shared" si="1"/>
        <v>Medium</v>
      </c>
      <c r="M58" s="16" t="s">
        <v>26</v>
      </c>
      <c r="N58" s="17" t="s">
        <v>27</v>
      </c>
      <c r="O58" s="17" t="s">
        <v>28</v>
      </c>
      <c r="P58" s="17" t="s">
        <v>28</v>
      </c>
      <c r="Q58" s="17" t="s">
        <v>28</v>
      </c>
      <c r="R58" s="17" t="s">
        <v>28</v>
      </c>
    </row>
    <row r="59" spans="1:18">
      <c r="A59" s="4" t="s">
        <v>199</v>
      </c>
      <c r="B59" s="4" t="s">
        <v>251</v>
      </c>
      <c r="C59" s="4" t="s">
        <v>252</v>
      </c>
      <c r="D59" s="4" t="s">
        <v>253</v>
      </c>
      <c r="E59" s="4" t="s">
        <v>58</v>
      </c>
      <c r="F59" s="4" t="s">
        <v>59</v>
      </c>
      <c r="G59" s="14">
        <v>12545.1</v>
      </c>
      <c r="H59" s="15">
        <v>3.09995898054294</v>
      </c>
      <c r="I59" s="4" t="s">
        <v>254</v>
      </c>
      <c r="J59" s="4" t="s">
        <v>54</v>
      </c>
      <c r="K59" s="4">
        <f t="shared" si="0"/>
        <v>5</v>
      </c>
      <c r="L59" s="4" t="str">
        <f t="shared" si="1"/>
        <v>Medium</v>
      </c>
      <c r="M59" s="16" t="s">
        <v>26</v>
      </c>
      <c r="N59" s="17" t="s">
        <v>27</v>
      </c>
      <c r="O59" s="17" t="s">
        <v>28</v>
      </c>
      <c r="P59" s="17" t="s">
        <v>28</v>
      </c>
      <c r="Q59" s="17" t="s">
        <v>28</v>
      </c>
      <c r="R59" s="17" t="s">
        <v>28</v>
      </c>
    </row>
    <row r="60" spans="1:18">
      <c r="A60" s="4" t="s">
        <v>199</v>
      </c>
      <c r="B60" s="4" t="s">
        <v>255</v>
      </c>
      <c r="C60" s="4" t="s">
        <v>256</v>
      </c>
      <c r="D60" s="4" t="s">
        <v>199</v>
      </c>
      <c r="E60" s="4" t="s">
        <v>58</v>
      </c>
      <c r="F60" s="4" t="s">
        <v>59</v>
      </c>
      <c r="G60" s="14"/>
      <c r="H60" s="15"/>
      <c r="I60" s="4" t="s">
        <v>257</v>
      </c>
      <c r="J60" s="4" t="s">
        <v>61</v>
      </c>
      <c r="K60" s="4">
        <f t="shared" si="0"/>
        <v>3</v>
      </c>
      <c r="L60" s="4" t="str">
        <f t="shared" si="1"/>
        <v>Low</v>
      </c>
      <c r="M60" s="16" t="s">
        <v>26</v>
      </c>
      <c r="N60" s="17" t="s">
        <v>27</v>
      </c>
      <c r="O60" s="17" t="s">
        <v>28</v>
      </c>
      <c r="P60" s="17" t="s">
        <v>28</v>
      </c>
      <c r="Q60" s="17" t="s">
        <v>28</v>
      </c>
      <c r="R60" s="17" t="s">
        <v>28</v>
      </c>
    </row>
    <row r="61" spans="1:18">
      <c r="A61" s="4" t="s">
        <v>199</v>
      </c>
      <c r="B61" s="4" t="s">
        <v>258</v>
      </c>
      <c r="C61" s="4" t="s">
        <v>259</v>
      </c>
      <c r="D61" s="4" t="s">
        <v>260</v>
      </c>
      <c r="E61" s="4" t="s">
        <v>124</v>
      </c>
      <c r="F61" s="4" t="s">
        <v>23</v>
      </c>
      <c r="G61" s="14"/>
      <c r="H61" s="15"/>
      <c r="I61" s="4" t="s">
        <v>261</v>
      </c>
      <c r="J61" s="4" t="s">
        <v>68</v>
      </c>
      <c r="K61" s="4">
        <f t="shared" si="0"/>
        <v>4</v>
      </c>
      <c r="L61" s="4" t="str">
        <f t="shared" si="1"/>
        <v>Low</v>
      </c>
      <c r="M61" s="16" t="s">
        <v>26</v>
      </c>
      <c r="N61" s="17" t="s">
        <v>27</v>
      </c>
      <c r="O61" s="17" t="s">
        <v>28</v>
      </c>
      <c r="P61" s="17" t="s">
        <v>28</v>
      </c>
      <c r="Q61" s="17" t="s">
        <v>28</v>
      </c>
      <c r="R61" s="17" t="s">
        <v>28</v>
      </c>
    </row>
    <row r="62" spans="1:18">
      <c r="A62" s="4" t="s">
        <v>199</v>
      </c>
      <c r="B62" s="4" t="s">
        <v>262</v>
      </c>
      <c r="C62" s="4" t="s">
        <v>263</v>
      </c>
      <c r="D62" s="4" t="s">
        <v>264</v>
      </c>
      <c r="E62" s="4" t="s">
        <v>265</v>
      </c>
      <c r="F62" s="4" t="s">
        <v>66</v>
      </c>
      <c r="G62" s="14"/>
      <c r="H62" s="15"/>
      <c r="I62" s="4" t="s">
        <v>266</v>
      </c>
      <c r="J62" s="4" t="s">
        <v>72</v>
      </c>
      <c r="K62" s="4">
        <f t="shared" si="0"/>
        <v>4</v>
      </c>
      <c r="L62" s="4" t="str">
        <f t="shared" si="1"/>
        <v>Low</v>
      </c>
      <c r="M62" s="16" t="s">
        <v>26</v>
      </c>
      <c r="N62" s="17" t="s">
        <v>27</v>
      </c>
      <c r="O62" s="17" t="s">
        <v>28</v>
      </c>
      <c r="P62" s="17" t="s">
        <v>28</v>
      </c>
      <c r="Q62" s="17" t="s">
        <v>28</v>
      </c>
      <c r="R62" s="17" t="s">
        <v>28</v>
      </c>
    </row>
    <row r="63" spans="1:18">
      <c r="A63" s="4" t="s">
        <v>199</v>
      </c>
      <c r="B63" s="4" t="s">
        <v>267</v>
      </c>
      <c r="C63" s="4" t="s">
        <v>268</v>
      </c>
      <c r="D63" s="4" t="s">
        <v>269</v>
      </c>
      <c r="E63" s="4" t="s">
        <v>265</v>
      </c>
      <c r="F63" s="4" t="s">
        <v>66</v>
      </c>
      <c r="G63" s="14"/>
      <c r="H63" s="15"/>
      <c r="I63" s="4" t="s">
        <v>270</v>
      </c>
      <c r="J63" s="4" t="s">
        <v>72</v>
      </c>
      <c r="K63" s="4">
        <f t="shared" si="0"/>
        <v>4</v>
      </c>
      <c r="L63" s="4" t="str">
        <f t="shared" si="1"/>
        <v>Low</v>
      </c>
      <c r="M63" s="16" t="s">
        <v>26</v>
      </c>
      <c r="N63" s="17" t="s">
        <v>27</v>
      </c>
      <c r="O63" s="17" t="s">
        <v>28</v>
      </c>
      <c r="P63" s="17" t="s">
        <v>28</v>
      </c>
      <c r="Q63" s="17" t="s">
        <v>28</v>
      </c>
      <c r="R63" s="17" t="s">
        <v>28</v>
      </c>
    </row>
    <row r="64" spans="1:18">
      <c r="A64" s="4" t="s">
        <v>271</v>
      </c>
      <c r="B64" s="4" t="s">
        <v>272</v>
      </c>
      <c r="C64" s="4" t="s">
        <v>273</v>
      </c>
      <c r="D64" s="4" t="s">
        <v>274</v>
      </c>
      <c r="E64" s="4" t="s">
        <v>22</v>
      </c>
      <c r="F64" s="4" t="s">
        <v>23</v>
      </c>
      <c r="G64" s="14">
        <v>10257.3</v>
      </c>
      <c r="H64" s="15">
        <v>2.53463178859659</v>
      </c>
      <c r="I64" s="4" t="s">
        <v>275</v>
      </c>
      <c r="J64" s="4" t="s">
        <v>25</v>
      </c>
      <c r="K64" s="4">
        <f t="shared" si="0"/>
        <v>7</v>
      </c>
      <c r="L64" s="4" t="str">
        <f t="shared" si="1"/>
        <v>High</v>
      </c>
      <c r="M64" s="16" t="s">
        <v>26</v>
      </c>
      <c r="N64" s="17" t="s">
        <v>27</v>
      </c>
      <c r="O64" s="17" t="s">
        <v>28</v>
      </c>
      <c r="P64" s="17" t="s">
        <v>28</v>
      </c>
      <c r="Q64" s="17" t="s">
        <v>28</v>
      </c>
      <c r="R64" s="17" t="s">
        <v>28</v>
      </c>
    </row>
    <row r="65" spans="1:18">
      <c r="A65" s="4" t="s">
        <v>271</v>
      </c>
      <c r="B65" s="4" t="s">
        <v>276</v>
      </c>
      <c r="C65" s="4" t="s">
        <v>277</v>
      </c>
      <c r="D65" s="4" t="s">
        <v>278</v>
      </c>
      <c r="E65" s="4" t="s">
        <v>58</v>
      </c>
      <c r="F65" s="4" t="s">
        <v>59</v>
      </c>
      <c r="G65" s="14">
        <v>6466.3</v>
      </c>
      <c r="H65" s="15">
        <v>1.59785611560568</v>
      </c>
      <c r="I65" s="4" t="s">
        <v>279</v>
      </c>
      <c r="J65" s="4" t="s">
        <v>25</v>
      </c>
      <c r="K65" s="4">
        <f t="shared" si="0"/>
        <v>5</v>
      </c>
      <c r="L65" s="4" t="str">
        <f t="shared" si="1"/>
        <v>Medium</v>
      </c>
      <c r="M65" s="16" t="s">
        <v>26</v>
      </c>
      <c r="N65" s="17" t="s">
        <v>27</v>
      </c>
      <c r="O65" s="17" t="s">
        <v>28</v>
      </c>
      <c r="P65" s="17" t="s">
        <v>28</v>
      </c>
      <c r="Q65" s="17" t="s">
        <v>28</v>
      </c>
      <c r="R65" s="17" t="s">
        <v>28</v>
      </c>
    </row>
    <row r="66" spans="1:18">
      <c r="A66" s="4" t="s">
        <v>271</v>
      </c>
      <c r="B66" s="4" t="s">
        <v>280</v>
      </c>
      <c r="C66" s="4" t="s">
        <v>281</v>
      </c>
      <c r="D66" s="4" t="s">
        <v>282</v>
      </c>
      <c r="E66" s="4" t="s">
        <v>155</v>
      </c>
      <c r="F66" s="4" t="s">
        <v>23</v>
      </c>
      <c r="G66" s="14">
        <v>2172.4</v>
      </c>
      <c r="H66" s="15">
        <v>0.536811256134386</v>
      </c>
      <c r="I66" s="4" t="s">
        <v>283</v>
      </c>
      <c r="J66" s="4" t="s">
        <v>25</v>
      </c>
      <c r="K66" s="4">
        <f t="shared" ref="K66:K129" si="2">IF($F66="Hotel",5,IF($F66="Motel",4,IF($F66="Resort",4,IF($F66="Amusement",4,IF($F66="Banquet",3,2)))))+IF($H66&gt;=4,2,IF($H66&gt;=2,1,0))+IF(VALUE($J66)&gt;=2024,2,IF(VALUE($J66)&gt;=2021,1,0))</f>
        <v>6</v>
      </c>
      <c r="L66" s="4" t="str">
        <f t="shared" ref="L66:L129" si="3">IF($K66&gt;=7,"High",IF($K66&gt;=5,"Medium","Low"))</f>
        <v>Medium</v>
      </c>
      <c r="M66" s="16" t="s">
        <v>26</v>
      </c>
      <c r="N66" s="17" t="s">
        <v>27</v>
      </c>
      <c r="O66" s="17" t="s">
        <v>28</v>
      </c>
      <c r="P66" s="17" t="s">
        <v>28</v>
      </c>
      <c r="Q66" s="17" t="s">
        <v>28</v>
      </c>
      <c r="R66" s="17" t="s">
        <v>28</v>
      </c>
    </row>
    <row r="67" spans="1:18">
      <c r="A67" s="4" t="s">
        <v>271</v>
      </c>
      <c r="B67" s="4" t="s">
        <v>284</v>
      </c>
      <c r="C67" s="4" t="s">
        <v>285</v>
      </c>
      <c r="D67" s="4" t="s">
        <v>286</v>
      </c>
      <c r="E67" s="4" t="s">
        <v>155</v>
      </c>
      <c r="F67" s="4" t="s">
        <v>23</v>
      </c>
      <c r="G67" s="14">
        <v>2057.6</v>
      </c>
      <c r="H67" s="15">
        <v>0.508443583420232</v>
      </c>
      <c r="I67" s="4" t="s">
        <v>287</v>
      </c>
      <c r="J67" s="4" t="s">
        <v>25</v>
      </c>
      <c r="K67" s="4">
        <f t="shared" si="2"/>
        <v>6</v>
      </c>
      <c r="L67" s="4" t="str">
        <f t="shared" si="3"/>
        <v>Medium</v>
      </c>
      <c r="M67" s="16" t="s">
        <v>26</v>
      </c>
      <c r="N67" s="17" t="s">
        <v>27</v>
      </c>
      <c r="O67" s="17" t="s">
        <v>28</v>
      </c>
      <c r="P67" s="17" t="s">
        <v>28</v>
      </c>
      <c r="Q67" s="17" t="s">
        <v>28</v>
      </c>
      <c r="R67" s="17" t="s">
        <v>28</v>
      </c>
    </row>
    <row r="68" spans="1:18">
      <c r="A68" s="4" t="s">
        <v>271</v>
      </c>
      <c r="B68" s="4" t="s">
        <v>288</v>
      </c>
      <c r="C68" s="4" t="s">
        <v>289</v>
      </c>
      <c r="D68" s="4" t="s">
        <v>290</v>
      </c>
      <c r="E68" s="4" t="s">
        <v>32</v>
      </c>
      <c r="F68" s="4" t="s">
        <v>33</v>
      </c>
      <c r="G68" s="14">
        <v>8995.3</v>
      </c>
      <c r="H68" s="15">
        <v>2.22278507287131</v>
      </c>
      <c r="I68" s="4" t="s">
        <v>291</v>
      </c>
      <c r="J68" s="4" t="s">
        <v>35</v>
      </c>
      <c r="K68" s="4">
        <f t="shared" si="2"/>
        <v>8</v>
      </c>
      <c r="L68" s="4" t="str">
        <f t="shared" si="3"/>
        <v>High</v>
      </c>
      <c r="M68" s="16" t="s">
        <v>26</v>
      </c>
      <c r="N68" s="17" t="s">
        <v>27</v>
      </c>
      <c r="O68" s="17" t="s">
        <v>28</v>
      </c>
      <c r="P68" s="17" t="s">
        <v>28</v>
      </c>
      <c r="Q68" s="17" t="s">
        <v>28</v>
      </c>
      <c r="R68" s="17" t="s">
        <v>28</v>
      </c>
    </row>
    <row r="69" spans="1:18">
      <c r="A69" s="4" t="s">
        <v>271</v>
      </c>
      <c r="B69" s="4" t="s">
        <v>292</v>
      </c>
      <c r="C69" s="4" t="s">
        <v>293</v>
      </c>
      <c r="D69" s="4" t="s">
        <v>294</v>
      </c>
      <c r="E69" s="4" t="s">
        <v>124</v>
      </c>
      <c r="F69" s="4" t="s">
        <v>23</v>
      </c>
      <c r="G69" s="14">
        <v>4644.52</v>
      </c>
      <c r="H69" s="15">
        <v>1.14768487172771</v>
      </c>
      <c r="I69" s="4" t="s">
        <v>295</v>
      </c>
      <c r="J69" s="4" t="s">
        <v>35</v>
      </c>
      <c r="K69" s="4">
        <f t="shared" si="2"/>
        <v>6</v>
      </c>
      <c r="L69" s="4" t="str">
        <f t="shared" si="3"/>
        <v>Medium</v>
      </c>
      <c r="M69" s="16" t="s">
        <v>26</v>
      </c>
      <c r="N69" s="17" t="s">
        <v>27</v>
      </c>
      <c r="O69" s="17" t="s">
        <v>28</v>
      </c>
      <c r="P69" s="17" t="s">
        <v>28</v>
      </c>
      <c r="Q69" s="17" t="s">
        <v>28</v>
      </c>
      <c r="R69" s="17" t="s">
        <v>28</v>
      </c>
    </row>
    <row r="70" spans="1:18">
      <c r="A70" s="4" t="s">
        <v>271</v>
      </c>
      <c r="B70" s="4" t="s">
        <v>296</v>
      </c>
      <c r="C70" s="4" t="s">
        <v>297</v>
      </c>
      <c r="D70" s="4" t="s">
        <v>298</v>
      </c>
      <c r="E70" s="4" t="s">
        <v>32</v>
      </c>
      <c r="F70" s="4" t="s">
        <v>33</v>
      </c>
      <c r="G70" s="14">
        <v>1494.4</v>
      </c>
      <c r="H70" s="15">
        <v>0.369273955610029</v>
      </c>
      <c r="I70" s="4" t="s">
        <v>299</v>
      </c>
      <c r="J70" s="4" t="s">
        <v>35</v>
      </c>
      <c r="K70" s="4">
        <f t="shared" si="2"/>
        <v>7</v>
      </c>
      <c r="L70" s="4" t="str">
        <f t="shared" si="3"/>
        <v>High</v>
      </c>
      <c r="M70" s="16" t="s">
        <v>26</v>
      </c>
      <c r="N70" s="17" t="s">
        <v>27</v>
      </c>
      <c r="O70" s="17" t="s">
        <v>28</v>
      </c>
      <c r="P70" s="17" t="s">
        <v>28</v>
      </c>
      <c r="Q70" s="17" t="s">
        <v>28</v>
      </c>
      <c r="R70" s="17" t="s">
        <v>28</v>
      </c>
    </row>
    <row r="71" spans="1:18">
      <c r="A71" s="4" t="s">
        <v>271</v>
      </c>
      <c r="B71" s="4" t="s">
        <v>300</v>
      </c>
      <c r="C71" s="4" t="s">
        <v>301</v>
      </c>
      <c r="D71" s="4" t="s">
        <v>278</v>
      </c>
      <c r="E71" s="4" t="s">
        <v>58</v>
      </c>
      <c r="F71" s="4" t="s">
        <v>59</v>
      </c>
      <c r="G71" s="14">
        <v>12766.61</v>
      </c>
      <c r="H71" s="15">
        <v>3.15469524520245</v>
      </c>
      <c r="I71" s="4" t="s">
        <v>302</v>
      </c>
      <c r="J71" s="4" t="s">
        <v>126</v>
      </c>
      <c r="K71" s="4">
        <f t="shared" si="2"/>
        <v>6</v>
      </c>
      <c r="L71" s="4" t="str">
        <f t="shared" si="3"/>
        <v>Medium</v>
      </c>
      <c r="M71" s="16" t="s">
        <v>26</v>
      </c>
      <c r="N71" s="17" t="s">
        <v>27</v>
      </c>
      <c r="O71" s="17" t="s">
        <v>28</v>
      </c>
      <c r="P71" s="17" t="s">
        <v>28</v>
      </c>
      <c r="Q71" s="17" t="s">
        <v>28</v>
      </c>
      <c r="R71" s="17" t="s">
        <v>28</v>
      </c>
    </row>
    <row r="72" spans="1:18">
      <c r="A72" s="4" t="s">
        <v>271</v>
      </c>
      <c r="B72" s="4" t="s">
        <v>303</v>
      </c>
      <c r="C72" s="4" t="s">
        <v>304</v>
      </c>
      <c r="D72" s="4" t="s">
        <v>305</v>
      </c>
      <c r="E72" s="4" t="s">
        <v>23</v>
      </c>
      <c r="F72" s="4" t="s">
        <v>23</v>
      </c>
      <c r="G72" s="14">
        <v>4191.3</v>
      </c>
      <c r="H72" s="15">
        <v>1.03569186974593</v>
      </c>
      <c r="I72" s="4" t="s">
        <v>306</v>
      </c>
      <c r="J72" s="4" t="s">
        <v>126</v>
      </c>
      <c r="K72" s="4">
        <f t="shared" si="2"/>
        <v>6</v>
      </c>
      <c r="L72" s="4" t="str">
        <f t="shared" si="3"/>
        <v>Medium</v>
      </c>
      <c r="M72" s="16" t="s">
        <v>26</v>
      </c>
      <c r="N72" s="17" t="s">
        <v>27</v>
      </c>
      <c r="O72" s="17" t="s">
        <v>28</v>
      </c>
      <c r="P72" s="17" t="s">
        <v>28</v>
      </c>
      <c r="Q72" s="17" t="s">
        <v>28</v>
      </c>
      <c r="R72" s="17" t="s">
        <v>28</v>
      </c>
    </row>
    <row r="73" spans="1:18">
      <c r="A73" s="4" t="s">
        <v>271</v>
      </c>
      <c r="B73" s="4" t="s">
        <v>307</v>
      </c>
      <c r="C73" s="4" t="s">
        <v>297</v>
      </c>
      <c r="D73" s="4" t="s">
        <v>298</v>
      </c>
      <c r="E73" s="4" t="s">
        <v>22</v>
      </c>
      <c r="F73" s="4" t="s">
        <v>23</v>
      </c>
      <c r="G73" s="14">
        <v>3170.3</v>
      </c>
      <c r="H73" s="15">
        <v>0.78339749830733</v>
      </c>
      <c r="I73" s="4" t="s">
        <v>308</v>
      </c>
      <c r="J73" s="4" t="s">
        <v>126</v>
      </c>
      <c r="K73" s="4">
        <f t="shared" si="2"/>
        <v>6</v>
      </c>
      <c r="L73" s="4" t="str">
        <f t="shared" si="3"/>
        <v>Medium</v>
      </c>
      <c r="M73" s="16" t="s">
        <v>26</v>
      </c>
      <c r="N73" s="17" t="s">
        <v>27</v>
      </c>
      <c r="O73" s="17" t="s">
        <v>28</v>
      </c>
      <c r="P73" s="17" t="s">
        <v>28</v>
      </c>
      <c r="Q73" s="17" t="s">
        <v>28</v>
      </c>
      <c r="R73" s="17" t="s">
        <v>28</v>
      </c>
    </row>
    <row r="74" spans="1:18">
      <c r="A74" s="4" t="s">
        <v>271</v>
      </c>
      <c r="B74" s="4" t="s">
        <v>309</v>
      </c>
      <c r="C74" s="4" t="s">
        <v>310</v>
      </c>
      <c r="D74" s="4" t="s">
        <v>305</v>
      </c>
      <c r="E74" s="4" t="s">
        <v>265</v>
      </c>
      <c r="F74" s="4" t="s">
        <v>66</v>
      </c>
      <c r="G74" s="14">
        <v>11715.7</v>
      </c>
      <c r="H74" s="15">
        <v>2.89500995833807</v>
      </c>
      <c r="I74" s="4" t="s">
        <v>311</v>
      </c>
      <c r="J74" s="4" t="s">
        <v>39</v>
      </c>
      <c r="K74" s="4">
        <f t="shared" si="2"/>
        <v>6</v>
      </c>
      <c r="L74" s="4" t="str">
        <f t="shared" si="3"/>
        <v>Medium</v>
      </c>
      <c r="M74" s="16" t="s">
        <v>26</v>
      </c>
      <c r="N74" s="17" t="s">
        <v>27</v>
      </c>
      <c r="O74" s="17" t="s">
        <v>28</v>
      </c>
      <c r="P74" s="17" t="s">
        <v>28</v>
      </c>
      <c r="Q74" s="17" t="s">
        <v>28</v>
      </c>
      <c r="R74" s="17" t="s">
        <v>28</v>
      </c>
    </row>
    <row r="75" spans="1:18">
      <c r="A75" s="4" t="s">
        <v>271</v>
      </c>
      <c r="B75" s="4" t="s">
        <v>312</v>
      </c>
      <c r="C75" s="4" t="s">
        <v>313</v>
      </c>
      <c r="D75" s="4" t="s">
        <v>314</v>
      </c>
      <c r="E75" s="4" t="s">
        <v>32</v>
      </c>
      <c r="F75" s="4" t="s">
        <v>33</v>
      </c>
      <c r="G75" s="14">
        <v>5856.1</v>
      </c>
      <c r="H75" s="15">
        <v>1.44707254513376</v>
      </c>
      <c r="I75" s="4" t="s">
        <v>315</v>
      </c>
      <c r="J75" s="4" t="s">
        <v>39</v>
      </c>
      <c r="K75" s="4">
        <f t="shared" si="2"/>
        <v>6</v>
      </c>
      <c r="L75" s="4" t="str">
        <f t="shared" si="3"/>
        <v>Medium</v>
      </c>
      <c r="M75" s="16" t="s">
        <v>26</v>
      </c>
      <c r="N75" s="17" t="s">
        <v>27</v>
      </c>
      <c r="O75" s="17" t="s">
        <v>28</v>
      </c>
      <c r="P75" s="17" t="s">
        <v>28</v>
      </c>
      <c r="Q75" s="17" t="s">
        <v>28</v>
      </c>
      <c r="R75" s="17" t="s">
        <v>28</v>
      </c>
    </row>
    <row r="76" spans="1:18">
      <c r="A76" s="4" t="s">
        <v>271</v>
      </c>
      <c r="B76" s="4" t="s">
        <v>316</v>
      </c>
      <c r="C76" s="4" t="s">
        <v>317</v>
      </c>
      <c r="D76" s="4" t="s">
        <v>305</v>
      </c>
      <c r="E76" s="4" t="s">
        <v>155</v>
      </c>
      <c r="F76" s="4" t="s">
        <v>23</v>
      </c>
      <c r="G76" s="14">
        <v>4722.6</v>
      </c>
      <c r="H76" s="15">
        <v>1.16697884285594</v>
      </c>
      <c r="I76" s="4" t="s">
        <v>318</v>
      </c>
      <c r="J76" s="4" t="s">
        <v>39</v>
      </c>
      <c r="K76" s="4">
        <f t="shared" si="2"/>
        <v>5</v>
      </c>
      <c r="L76" s="4" t="str">
        <f t="shared" si="3"/>
        <v>Medium</v>
      </c>
      <c r="M76" s="16" t="s">
        <v>26</v>
      </c>
      <c r="N76" s="17" t="s">
        <v>27</v>
      </c>
      <c r="O76" s="17" t="s">
        <v>28</v>
      </c>
      <c r="P76" s="17" t="s">
        <v>28</v>
      </c>
      <c r="Q76" s="17" t="s">
        <v>28</v>
      </c>
      <c r="R76" s="17" t="s">
        <v>28</v>
      </c>
    </row>
    <row r="77" spans="1:18">
      <c r="A77" s="4" t="s">
        <v>271</v>
      </c>
      <c r="B77" s="4" t="s">
        <v>319</v>
      </c>
      <c r="C77" s="4" t="s">
        <v>320</v>
      </c>
      <c r="D77" s="4" t="s">
        <v>321</v>
      </c>
      <c r="E77" s="4" t="s">
        <v>155</v>
      </c>
      <c r="F77" s="4" t="s">
        <v>23</v>
      </c>
      <c r="G77" s="14">
        <v>4449.7</v>
      </c>
      <c r="H77" s="15">
        <v>1.09954384386907</v>
      </c>
      <c r="I77" s="4" t="s">
        <v>43</v>
      </c>
      <c r="J77" s="4" t="s">
        <v>39</v>
      </c>
      <c r="K77" s="4">
        <f t="shared" si="2"/>
        <v>5</v>
      </c>
      <c r="L77" s="4" t="str">
        <f t="shared" si="3"/>
        <v>Medium</v>
      </c>
      <c r="M77" s="16" t="s">
        <v>26</v>
      </c>
      <c r="N77" s="17" t="s">
        <v>27</v>
      </c>
      <c r="O77" s="17" t="s">
        <v>28</v>
      </c>
      <c r="P77" s="17" t="s">
        <v>28</v>
      </c>
      <c r="Q77" s="17" t="s">
        <v>28</v>
      </c>
      <c r="R77" s="17" t="s">
        <v>28</v>
      </c>
    </row>
    <row r="78" spans="1:18">
      <c r="A78" s="4" t="s">
        <v>271</v>
      </c>
      <c r="B78" s="4" t="s">
        <v>322</v>
      </c>
      <c r="C78" s="4" t="s">
        <v>323</v>
      </c>
      <c r="D78" s="4" t="s">
        <v>314</v>
      </c>
      <c r="E78" s="4" t="s">
        <v>22</v>
      </c>
      <c r="F78" s="4" t="s">
        <v>23</v>
      </c>
      <c r="G78" s="14">
        <v>3935.8</v>
      </c>
      <c r="H78" s="15">
        <v>0.972556500595523</v>
      </c>
      <c r="I78" s="4" t="s">
        <v>147</v>
      </c>
      <c r="J78" s="4" t="s">
        <v>39</v>
      </c>
      <c r="K78" s="4">
        <f t="shared" si="2"/>
        <v>5</v>
      </c>
      <c r="L78" s="4" t="str">
        <f t="shared" si="3"/>
        <v>Medium</v>
      </c>
      <c r="M78" s="16" t="s">
        <v>26</v>
      </c>
      <c r="N78" s="17" t="s">
        <v>27</v>
      </c>
      <c r="O78" s="17" t="s">
        <v>28</v>
      </c>
      <c r="P78" s="17" t="s">
        <v>28</v>
      </c>
      <c r="Q78" s="17" t="s">
        <v>28</v>
      </c>
      <c r="R78" s="17" t="s">
        <v>28</v>
      </c>
    </row>
    <row r="79" spans="1:18">
      <c r="A79" s="4" t="s">
        <v>271</v>
      </c>
      <c r="B79" s="4" t="s">
        <v>324</v>
      </c>
      <c r="C79" s="4" t="s">
        <v>325</v>
      </c>
      <c r="D79" s="4" t="s">
        <v>326</v>
      </c>
      <c r="E79" s="4" t="s">
        <v>187</v>
      </c>
      <c r="F79" s="4" t="s">
        <v>23</v>
      </c>
      <c r="G79" s="14"/>
      <c r="H79" s="15"/>
      <c r="I79" s="4" t="s">
        <v>327</v>
      </c>
      <c r="J79" s="4" t="s">
        <v>328</v>
      </c>
      <c r="K79" s="4">
        <f t="shared" si="2"/>
        <v>4</v>
      </c>
      <c r="L79" s="4" t="str">
        <f t="shared" si="3"/>
        <v>Low</v>
      </c>
      <c r="M79" s="16" t="s">
        <v>26</v>
      </c>
      <c r="N79" s="17" t="s">
        <v>27</v>
      </c>
      <c r="O79" s="17" t="s">
        <v>28</v>
      </c>
      <c r="P79" s="17" t="s">
        <v>28</v>
      </c>
      <c r="Q79" s="17" t="s">
        <v>28</v>
      </c>
      <c r="R79" s="17" t="s">
        <v>28</v>
      </c>
    </row>
    <row r="80" spans="1:18">
      <c r="A80" s="4" t="s">
        <v>271</v>
      </c>
      <c r="B80" s="4" t="s">
        <v>329</v>
      </c>
      <c r="C80" s="4" t="s">
        <v>330</v>
      </c>
      <c r="D80" s="4" t="s">
        <v>331</v>
      </c>
      <c r="E80" s="4" t="s">
        <v>58</v>
      </c>
      <c r="F80" s="4" t="s">
        <v>59</v>
      </c>
      <c r="G80" s="14"/>
      <c r="H80" s="15"/>
      <c r="I80" s="4" t="s">
        <v>332</v>
      </c>
      <c r="J80" s="4" t="s">
        <v>61</v>
      </c>
      <c r="K80" s="4">
        <f t="shared" si="2"/>
        <v>3</v>
      </c>
      <c r="L80" s="4" t="str">
        <f t="shared" si="3"/>
        <v>Low</v>
      </c>
      <c r="M80" s="16" t="s">
        <v>26</v>
      </c>
      <c r="N80" s="17" t="s">
        <v>27</v>
      </c>
      <c r="O80" s="17" t="s">
        <v>28</v>
      </c>
      <c r="P80" s="17" t="s">
        <v>28</v>
      </c>
      <c r="Q80" s="17" t="s">
        <v>28</v>
      </c>
      <c r="R80" s="17" t="s">
        <v>28</v>
      </c>
    </row>
    <row r="81" spans="1:18">
      <c r="A81" s="4" t="s">
        <v>271</v>
      </c>
      <c r="B81" s="4" t="s">
        <v>333</v>
      </c>
      <c r="C81" s="4" t="s">
        <v>334</v>
      </c>
      <c r="D81" s="4" t="s">
        <v>335</v>
      </c>
      <c r="E81" s="4" t="s">
        <v>52</v>
      </c>
      <c r="F81" s="4" t="s">
        <v>52</v>
      </c>
      <c r="G81" s="14"/>
      <c r="H81" s="15"/>
      <c r="I81" s="4" t="s">
        <v>336</v>
      </c>
      <c r="J81" s="4" t="s">
        <v>68</v>
      </c>
      <c r="K81" s="4">
        <f t="shared" si="2"/>
        <v>2</v>
      </c>
      <c r="L81" s="4" t="str">
        <f t="shared" si="3"/>
        <v>Low</v>
      </c>
      <c r="M81" s="16" t="s">
        <v>26</v>
      </c>
      <c r="N81" s="17" t="s">
        <v>27</v>
      </c>
      <c r="O81" s="17" t="s">
        <v>28</v>
      </c>
      <c r="P81" s="17" t="s">
        <v>28</v>
      </c>
      <c r="Q81" s="17" t="s">
        <v>28</v>
      </c>
      <c r="R81" s="17" t="s">
        <v>28</v>
      </c>
    </row>
    <row r="82" spans="1:18">
      <c r="A82" s="4" t="s">
        <v>271</v>
      </c>
      <c r="B82" s="4" t="s">
        <v>337</v>
      </c>
      <c r="C82" s="4" t="s">
        <v>338</v>
      </c>
      <c r="D82" s="4" t="s">
        <v>271</v>
      </c>
      <c r="E82" s="4" t="s">
        <v>52</v>
      </c>
      <c r="F82" s="4" t="s">
        <v>52</v>
      </c>
      <c r="G82" s="14"/>
      <c r="H82" s="15"/>
      <c r="I82" s="4" t="s">
        <v>339</v>
      </c>
      <c r="J82" s="4" t="s">
        <v>68</v>
      </c>
      <c r="K82" s="4">
        <f t="shared" si="2"/>
        <v>2</v>
      </c>
      <c r="L82" s="4" t="str">
        <f t="shared" si="3"/>
        <v>Low</v>
      </c>
      <c r="M82" s="16" t="s">
        <v>26</v>
      </c>
      <c r="N82" s="17" t="s">
        <v>27</v>
      </c>
      <c r="O82" s="17" t="s">
        <v>28</v>
      </c>
      <c r="P82" s="17" t="s">
        <v>28</v>
      </c>
      <c r="Q82" s="17" t="s">
        <v>28</v>
      </c>
      <c r="R82" s="17" t="s">
        <v>28</v>
      </c>
    </row>
    <row r="83" spans="1:18">
      <c r="A83" s="4" t="s">
        <v>340</v>
      </c>
      <c r="B83" s="4" t="s">
        <v>341</v>
      </c>
      <c r="C83" s="4" t="s">
        <v>342</v>
      </c>
      <c r="D83" s="4" t="s">
        <v>343</v>
      </c>
      <c r="E83" s="4" t="s">
        <v>124</v>
      </c>
      <c r="F83" s="4" t="s">
        <v>23</v>
      </c>
      <c r="G83" s="14">
        <v>6045.2</v>
      </c>
      <c r="H83" s="15">
        <v>1.49380013145995</v>
      </c>
      <c r="I83" s="4" t="s">
        <v>344</v>
      </c>
      <c r="J83" s="4" t="s">
        <v>25</v>
      </c>
      <c r="K83" s="4">
        <f t="shared" si="2"/>
        <v>6</v>
      </c>
      <c r="L83" s="4" t="str">
        <f t="shared" si="3"/>
        <v>Medium</v>
      </c>
      <c r="M83" s="16" t="s">
        <v>26</v>
      </c>
      <c r="N83" s="17" t="s">
        <v>27</v>
      </c>
      <c r="O83" s="17" t="s">
        <v>28</v>
      </c>
      <c r="P83" s="17" t="s">
        <v>28</v>
      </c>
      <c r="Q83" s="17" t="s">
        <v>28</v>
      </c>
      <c r="R83" s="17" t="s">
        <v>28</v>
      </c>
    </row>
    <row r="84" spans="1:18">
      <c r="A84" s="4" t="s">
        <v>340</v>
      </c>
      <c r="B84" s="4" t="s">
        <v>345</v>
      </c>
      <c r="C84" s="4" t="s">
        <v>346</v>
      </c>
      <c r="D84" s="4" t="s">
        <v>347</v>
      </c>
      <c r="E84" s="4" t="s">
        <v>32</v>
      </c>
      <c r="F84" s="4" t="s">
        <v>33</v>
      </c>
      <c r="G84" s="14">
        <v>5370.2</v>
      </c>
      <c r="H84" s="15">
        <v>1.32700414642463</v>
      </c>
      <c r="I84" s="4" t="s">
        <v>348</v>
      </c>
      <c r="J84" s="4" t="s">
        <v>25</v>
      </c>
      <c r="K84" s="4">
        <f t="shared" si="2"/>
        <v>7</v>
      </c>
      <c r="L84" s="4" t="str">
        <f t="shared" si="3"/>
        <v>High</v>
      </c>
      <c r="M84" s="16" t="s">
        <v>26</v>
      </c>
      <c r="N84" s="17" t="s">
        <v>27</v>
      </c>
      <c r="O84" s="17" t="s">
        <v>28</v>
      </c>
      <c r="P84" s="17" t="s">
        <v>28</v>
      </c>
      <c r="Q84" s="17" t="s">
        <v>28</v>
      </c>
      <c r="R84" s="17" t="s">
        <v>28</v>
      </c>
    </row>
    <row r="85" spans="1:18">
      <c r="A85" s="4" t="s">
        <v>340</v>
      </c>
      <c r="B85" s="4" t="s">
        <v>349</v>
      </c>
      <c r="C85" s="4" t="s">
        <v>350</v>
      </c>
      <c r="D85" s="4" t="s">
        <v>347</v>
      </c>
      <c r="E85" s="4" t="s">
        <v>32</v>
      </c>
      <c r="F85" s="4" t="s">
        <v>33</v>
      </c>
      <c r="G85" s="14">
        <v>3245.1</v>
      </c>
      <c r="H85" s="15">
        <v>0.801880964500872</v>
      </c>
      <c r="I85" s="4" t="s">
        <v>351</v>
      </c>
      <c r="J85" s="4" t="s">
        <v>25</v>
      </c>
      <c r="K85" s="4">
        <f t="shared" si="2"/>
        <v>7</v>
      </c>
      <c r="L85" s="4" t="str">
        <f t="shared" si="3"/>
        <v>High</v>
      </c>
      <c r="M85" s="16" t="s">
        <v>26</v>
      </c>
      <c r="N85" s="17" t="s">
        <v>27</v>
      </c>
      <c r="O85" s="17" t="s">
        <v>28</v>
      </c>
      <c r="P85" s="17" t="s">
        <v>28</v>
      </c>
      <c r="Q85" s="17" t="s">
        <v>28</v>
      </c>
      <c r="R85" s="17" t="s">
        <v>28</v>
      </c>
    </row>
    <row r="86" spans="1:18">
      <c r="A86" s="4" t="s">
        <v>340</v>
      </c>
      <c r="B86" s="4" t="s">
        <v>352</v>
      </c>
      <c r="C86" s="4" t="s">
        <v>353</v>
      </c>
      <c r="D86" s="4" t="s">
        <v>354</v>
      </c>
      <c r="E86" s="4" t="s">
        <v>32</v>
      </c>
      <c r="F86" s="4" t="s">
        <v>33</v>
      </c>
      <c r="G86" s="14">
        <v>10133.9</v>
      </c>
      <c r="H86" s="15">
        <v>2.50413901148051</v>
      </c>
      <c r="I86" s="4" t="s">
        <v>355</v>
      </c>
      <c r="J86" s="4" t="s">
        <v>35</v>
      </c>
      <c r="K86" s="4">
        <f t="shared" si="2"/>
        <v>8</v>
      </c>
      <c r="L86" s="4" t="str">
        <f t="shared" si="3"/>
        <v>High</v>
      </c>
      <c r="M86" s="16" t="s">
        <v>26</v>
      </c>
      <c r="N86" s="17" t="s">
        <v>27</v>
      </c>
      <c r="O86" s="17" t="s">
        <v>28</v>
      </c>
      <c r="P86" s="17" t="s">
        <v>28</v>
      </c>
      <c r="Q86" s="17" t="s">
        <v>28</v>
      </c>
      <c r="R86" s="17" t="s">
        <v>28</v>
      </c>
    </row>
    <row r="87" spans="1:18">
      <c r="A87" s="4" t="s">
        <v>340</v>
      </c>
      <c r="B87" s="4" t="s">
        <v>356</v>
      </c>
      <c r="C87" s="4" t="s">
        <v>357</v>
      </c>
      <c r="D87" s="4" t="s">
        <v>358</v>
      </c>
      <c r="E87" s="4" t="s">
        <v>51</v>
      </c>
      <c r="F87" s="4" t="s">
        <v>52</v>
      </c>
      <c r="G87" s="14">
        <v>9682.27</v>
      </c>
      <c r="H87" s="15">
        <v>2.39253890670792</v>
      </c>
      <c r="I87" s="4" t="s">
        <v>359</v>
      </c>
      <c r="J87" s="4" t="s">
        <v>35</v>
      </c>
      <c r="K87" s="4">
        <f t="shared" si="2"/>
        <v>5</v>
      </c>
      <c r="L87" s="4" t="str">
        <f t="shared" si="3"/>
        <v>Medium</v>
      </c>
      <c r="M87" s="16" t="s">
        <v>26</v>
      </c>
      <c r="N87" s="17" t="s">
        <v>27</v>
      </c>
      <c r="O87" s="17" t="s">
        <v>28</v>
      </c>
      <c r="P87" s="17" t="s">
        <v>28</v>
      </c>
      <c r="Q87" s="17" t="s">
        <v>28</v>
      </c>
      <c r="R87" s="17" t="s">
        <v>28</v>
      </c>
    </row>
    <row r="88" spans="1:18">
      <c r="A88" s="4" t="s">
        <v>340</v>
      </c>
      <c r="B88" s="4" t="s">
        <v>360</v>
      </c>
      <c r="C88" s="4" t="s">
        <v>361</v>
      </c>
      <c r="D88" s="4" t="s">
        <v>362</v>
      </c>
      <c r="E88" s="4" t="s">
        <v>22</v>
      </c>
      <c r="F88" s="4" t="s">
        <v>23</v>
      </c>
      <c r="G88" s="14">
        <v>8559.1</v>
      </c>
      <c r="H88" s="15">
        <v>2.11499780076405</v>
      </c>
      <c r="I88" s="4" t="s">
        <v>363</v>
      </c>
      <c r="J88" s="4" t="s">
        <v>35</v>
      </c>
      <c r="K88" s="4">
        <f t="shared" si="2"/>
        <v>7</v>
      </c>
      <c r="L88" s="4" t="str">
        <f t="shared" si="3"/>
        <v>High</v>
      </c>
      <c r="M88" s="16" t="s">
        <v>26</v>
      </c>
      <c r="N88" s="17" t="s">
        <v>27</v>
      </c>
      <c r="O88" s="17" t="s">
        <v>28</v>
      </c>
      <c r="P88" s="17" t="s">
        <v>28</v>
      </c>
      <c r="Q88" s="17" t="s">
        <v>28</v>
      </c>
      <c r="R88" s="17" t="s">
        <v>28</v>
      </c>
    </row>
    <row r="89" spans="1:18">
      <c r="A89" s="4" t="s">
        <v>340</v>
      </c>
      <c r="B89" s="4" t="s">
        <v>364</v>
      </c>
      <c r="C89" s="4" t="s">
        <v>365</v>
      </c>
      <c r="D89" s="4" t="s">
        <v>366</v>
      </c>
      <c r="E89" s="4" t="s">
        <v>51</v>
      </c>
      <c r="F89" s="4" t="s">
        <v>52</v>
      </c>
      <c r="G89" s="14">
        <v>6171.4</v>
      </c>
      <c r="H89" s="15">
        <v>1.52498480303247</v>
      </c>
      <c r="I89" s="4" t="s">
        <v>367</v>
      </c>
      <c r="J89" s="4" t="s">
        <v>35</v>
      </c>
      <c r="K89" s="4">
        <f t="shared" si="2"/>
        <v>4</v>
      </c>
      <c r="L89" s="4" t="str">
        <f t="shared" si="3"/>
        <v>Low</v>
      </c>
      <c r="M89" s="16" t="s">
        <v>26</v>
      </c>
      <c r="N89" s="17" t="s">
        <v>27</v>
      </c>
      <c r="O89" s="17" t="s">
        <v>28</v>
      </c>
      <c r="P89" s="17" t="s">
        <v>28</v>
      </c>
      <c r="Q89" s="17" t="s">
        <v>28</v>
      </c>
      <c r="R89" s="17" t="s">
        <v>28</v>
      </c>
    </row>
    <row r="90" spans="1:18">
      <c r="A90" s="4" t="s">
        <v>340</v>
      </c>
      <c r="B90" s="4" t="s">
        <v>368</v>
      </c>
      <c r="C90" s="4" t="s">
        <v>369</v>
      </c>
      <c r="D90" s="4" t="s">
        <v>370</v>
      </c>
      <c r="E90" s="4" t="s">
        <v>51</v>
      </c>
      <c r="F90" s="4" t="s">
        <v>52</v>
      </c>
      <c r="G90" s="14">
        <v>4072.1</v>
      </c>
      <c r="H90" s="15">
        <v>1.00623693431451</v>
      </c>
      <c r="I90" s="4" t="s">
        <v>371</v>
      </c>
      <c r="J90" s="4" t="s">
        <v>35</v>
      </c>
      <c r="K90" s="4">
        <f t="shared" si="2"/>
        <v>4</v>
      </c>
      <c r="L90" s="4" t="str">
        <f t="shared" si="3"/>
        <v>Low</v>
      </c>
      <c r="M90" s="16" t="s">
        <v>26</v>
      </c>
      <c r="N90" s="17" t="s">
        <v>27</v>
      </c>
      <c r="O90" s="17" t="s">
        <v>28</v>
      </c>
      <c r="P90" s="17" t="s">
        <v>28</v>
      </c>
      <c r="Q90" s="17" t="s">
        <v>28</v>
      </c>
      <c r="R90" s="17" t="s">
        <v>28</v>
      </c>
    </row>
    <row r="91" spans="1:18">
      <c r="A91" s="4" t="s">
        <v>340</v>
      </c>
      <c r="B91" s="4" t="s">
        <v>372</v>
      </c>
      <c r="C91" s="4" t="s">
        <v>373</v>
      </c>
      <c r="D91" s="4" t="s">
        <v>354</v>
      </c>
      <c r="E91" s="4" t="s">
        <v>155</v>
      </c>
      <c r="F91" s="4" t="s">
        <v>23</v>
      </c>
      <c r="G91" s="14">
        <v>4006.3</v>
      </c>
      <c r="H91" s="15">
        <v>0.9899774145881</v>
      </c>
      <c r="I91" s="4" t="s">
        <v>374</v>
      </c>
      <c r="J91" s="4" t="s">
        <v>35</v>
      </c>
      <c r="K91" s="4">
        <f t="shared" si="2"/>
        <v>6</v>
      </c>
      <c r="L91" s="4" t="str">
        <f t="shared" si="3"/>
        <v>Medium</v>
      </c>
      <c r="M91" s="16" t="s">
        <v>26</v>
      </c>
      <c r="N91" s="17" t="s">
        <v>27</v>
      </c>
      <c r="O91" s="17" t="s">
        <v>28</v>
      </c>
      <c r="P91" s="17" t="s">
        <v>28</v>
      </c>
      <c r="Q91" s="17" t="s">
        <v>28</v>
      </c>
      <c r="R91" s="17" t="s">
        <v>28</v>
      </c>
    </row>
    <row r="92" spans="1:18">
      <c r="A92" s="4" t="s">
        <v>340</v>
      </c>
      <c r="B92" s="4" t="s">
        <v>375</v>
      </c>
      <c r="C92" s="4" t="s">
        <v>376</v>
      </c>
      <c r="D92" s="4" t="s">
        <v>347</v>
      </c>
      <c r="E92" s="4" t="s">
        <v>32</v>
      </c>
      <c r="F92" s="4" t="s">
        <v>33</v>
      </c>
      <c r="G92" s="14">
        <v>3192</v>
      </c>
      <c r="H92" s="15">
        <v>0.788759680344761</v>
      </c>
      <c r="I92" s="4" t="s">
        <v>377</v>
      </c>
      <c r="J92" s="4" t="s">
        <v>35</v>
      </c>
      <c r="K92" s="4">
        <f t="shared" si="2"/>
        <v>7</v>
      </c>
      <c r="L92" s="4" t="str">
        <f t="shared" si="3"/>
        <v>High</v>
      </c>
      <c r="M92" s="16" t="s">
        <v>26</v>
      </c>
      <c r="N92" s="17" t="s">
        <v>27</v>
      </c>
      <c r="O92" s="17" t="s">
        <v>28</v>
      </c>
      <c r="P92" s="17" t="s">
        <v>28</v>
      </c>
      <c r="Q92" s="17" t="s">
        <v>28</v>
      </c>
      <c r="R92" s="17" t="s">
        <v>28</v>
      </c>
    </row>
    <row r="93" spans="1:18">
      <c r="A93" s="4" t="s">
        <v>340</v>
      </c>
      <c r="B93" s="4" t="s">
        <v>378</v>
      </c>
      <c r="C93" s="4" t="s">
        <v>379</v>
      </c>
      <c r="D93" s="4" t="s">
        <v>380</v>
      </c>
      <c r="E93" s="4" t="s">
        <v>51</v>
      </c>
      <c r="F93" s="4" t="s">
        <v>52</v>
      </c>
      <c r="G93" s="14">
        <v>8102.8</v>
      </c>
      <c r="H93" s="15">
        <v>2.00224371488018</v>
      </c>
      <c r="I93" s="4" t="s">
        <v>137</v>
      </c>
      <c r="J93" s="4" t="s">
        <v>126</v>
      </c>
      <c r="K93" s="4">
        <f t="shared" si="2"/>
        <v>5</v>
      </c>
      <c r="L93" s="4" t="str">
        <f t="shared" si="3"/>
        <v>Medium</v>
      </c>
      <c r="M93" s="16" t="s">
        <v>26</v>
      </c>
      <c r="N93" s="17" t="s">
        <v>27</v>
      </c>
      <c r="O93" s="17" t="s">
        <v>28</v>
      </c>
      <c r="P93" s="17" t="s">
        <v>28</v>
      </c>
      <c r="Q93" s="17" t="s">
        <v>28</v>
      </c>
      <c r="R93" s="17" t="s">
        <v>28</v>
      </c>
    </row>
    <row r="94" spans="1:18">
      <c r="A94" s="4" t="s">
        <v>340</v>
      </c>
      <c r="B94" s="4" t="s">
        <v>381</v>
      </c>
      <c r="C94" s="4" t="s">
        <v>382</v>
      </c>
      <c r="D94" s="4" t="s">
        <v>380</v>
      </c>
      <c r="E94" s="4" t="s">
        <v>32</v>
      </c>
      <c r="F94" s="4" t="s">
        <v>33</v>
      </c>
      <c r="G94" s="14">
        <v>7537.2</v>
      </c>
      <c r="H94" s="15">
        <v>1.86248103467874</v>
      </c>
      <c r="I94" s="4" t="s">
        <v>302</v>
      </c>
      <c r="J94" s="4" t="s">
        <v>126</v>
      </c>
      <c r="K94" s="4">
        <f t="shared" si="2"/>
        <v>7</v>
      </c>
      <c r="L94" s="4" t="str">
        <f t="shared" si="3"/>
        <v>High</v>
      </c>
      <c r="M94" s="16" t="s">
        <v>26</v>
      </c>
      <c r="N94" s="17" t="s">
        <v>27</v>
      </c>
      <c r="O94" s="17" t="s">
        <v>28</v>
      </c>
      <c r="P94" s="17" t="s">
        <v>28</v>
      </c>
      <c r="Q94" s="17" t="s">
        <v>28</v>
      </c>
      <c r="R94" s="17" t="s">
        <v>28</v>
      </c>
    </row>
    <row r="95" spans="1:18">
      <c r="A95" s="4" t="s">
        <v>340</v>
      </c>
      <c r="B95" s="4" t="s">
        <v>383</v>
      </c>
      <c r="C95" s="4" t="s">
        <v>384</v>
      </c>
      <c r="D95" s="4" t="s">
        <v>385</v>
      </c>
      <c r="E95" s="4" t="s">
        <v>386</v>
      </c>
      <c r="F95" s="4" t="s">
        <v>33</v>
      </c>
      <c r="G95" s="14">
        <v>2776.4</v>
      </c>
      <c r="H95" s="15">
        <v>0.686062774595612</v>
      </c>
      <c r="I95" s="4" t="s">
        <v>387</v>
      </c>
      <c r="J95" s="4" t="s">
        <v>126</v>
      </c>
      <c r="K95" s="4">
        <f t="shared" si="2"/>
        <v>7</v>
      </c>
      <c r="L95" s="4" t="str">
        <f t="shared" si="3"/>
        <v>High</v>
      </c>
      <c r="M95" s="16" t="s">
        <v>26</v>
      </c>
      <c r="N95" s="17" t="s">
        <v>27</v>
      </c>
      <c r="O95" s="17" t="s">
        <v>28</v>
      </c>
      <c r="P95" s="17" t="s">
        <v>28</v>
      </c>
      <c r="Q95" s="17" t="s">
        <v>28</v>
      </c>
      <c r="R95" s="17" t="s">
        <v>28</v>
      </c>
    </row>
    <row r="96" spans="1:18">
      <c r="A96" s="4" t="s">
        <v>340</v>
      </c>
      <c r="B96" s="4" t="s">
        <v>388</v>
      </c>
      <c r="C96" s="4" t="s">
        <v>389</v>
      </c>
      <c r="D96" s="4" t="s">
        <v>390</v>
      </c>
      <c r="E96" s="4" t="s">
        <v>265</v>
      </c>
      <c r="F96" s="4" t="s">
        <v>66</v>
      </c>
      <c r="G96" s="14">
        <v>1677</v>
      </c>
      <c r="H96" s="15">
        <v>0.414395358376618</v>
      </c>
      <c r="I96" s="4" t="s">
        <v>391</v>
      </c>
      <c r="J96" s="4" t="s">
        <v>126</v>
      </c>
      <c r="K96" s="4">
        <f t="shared" si="2"/>
        <v>6</v>
      </c>
      <c r="L96" s="4" t="str">
        <f t="shared" si="3"/>
        <v>Medium</v>
      </c>
      <c r="M96" s="16" t="s">
        <v>26</v>
      </c>
      <c r="N96" s="17" t="s">
        <v>27</v>
      </c>
      <c r="O96" s="17" t="s">
        <v>28</v>
      </c>
      <c r="P96" s="17" t="s">
        <v>28</v>
      </c>
      <c r="Q96" s="17" t="s">
        <v>28</v>
      </c>
      <c r="R96" s="17" t="s">
        <v>28</v>
      </c>
    </row>
    <row r="97" spans="1:18">
      <c r="A97" s="4" t="s">
        <v>340</v>
      </c>
      <c r="B97" s="4" t="s">
        <v>392</v>
      </c>
      <c r="C97" s="4" t="s">
        <v>393</v>
      </c>
      <c r="D97" s="4" t="s">
        <v>343</v>
      </c>
      <c r="E97" s="4" t="s">
        <v>58</v>
      </c>
      <c r="F97" s="4" t="s">
        <v>59</v>
      </c>
      <c r="G97" s="14">
        <v>10425.9</v>
      </c>
      <c r="H97" s="15">
        <v>2.57629371908097</v>
      </c>
      <c r="I97" s="4" t="s">
        <v>394</v>
      </c>
      <c r="J97" s="4" t="s">
        <v>39</v>
      </c>
      <c r="K97" s="4">
        <f t="shared" si="2"/>
        <v>5</v>
      </c>
      <c r="L97" s="4" t="str">
        <f t="shared" si="3"/>
        <v>Medium</v>
      </c>
      <c r="M97" s="16" t="s">
        <v>26</v>
      </c>
      <c r="N97" s="17" t="s">
        <v>27</v>
      </c>
      <c r="O97" s="17" t="s">
        <v>28</v>
      </c>
      <c r="P97" s="17" t="s">
        <v>28</v>
      </c>
      <c r="Q97" s="17" t="s">
        <v>28</v>
      </c>
      <c r="R97" s="17" t="s">
        <v>28</v>
      </c>
    </row>
    <row r="98" spans="1:18">
      <c r="A98" s="4" t="s">
        <v>340</v>
      </c>
      <c r="B98" s="4" t="s">
        <v>395</v>
      </c>
      <c r="C98" s="4" t="s">
        <v>396</v>
      </c>
      <c r="D98" s="4" t="s">
        <v>397</v>
      </c>
      <c r="E98" s="4" t="s">
        <v>58</v>
      </c>
      <c r="F98" s="4" t="s">
        <v>59</v>
      </c>
      <c r="G98" s="14">
        <v>10375.6</v>
      </c>
      <c r="H98" s="15">
        <v>2.5638643293813</v>
      </c>
      <c r="I98" s="4" t="s">
        <v>398</v>
      </c>
      <c r="J98" s="4" t="s">
        <v>39</v>
      </c>
      <c r="K98" s="4">
        <f t="shared" si="2"/>
        <v>5</v>
      </c>
      <c r="L98" s="4" t="str">
        <f t="shared" si="3"/>
        <v>Medium</v>
      </c>
      <c r="M98" s="16" t="s">
        <v>26</v>
      </c>
      <c r="N98" s="17" t="s">
        <v>27</v>
      </c>
      <c r="O98" s="17" t="s">
        <v>28</v>
      </c>
      <c r="P98" s="17" t="s">
        <v>28</v>
      </c>
      <c r="Q98" s="17" t="s">
        <v>28</v>
      </c>
      <c r="R98" s="17" t="s">
        <v>28</v>
      </c>
    </row>
    <row r="99" spans="1:18">
      <c r="A99" s="4" t="s">
        <v>340</v>
      </c>
      <c r="B99" s="4" t="s">
        <v>399</v>
      </c>
      <c r="C99" s="4" t="s">
        <v>400</v>
      </c>
      <c r="D99" s="4" t="s">
        <v>401</v>
      </c>
      <c r="E99" s="4" t="s">
        <v>58</v>
      </c>
      <c r="F99" s="4" t="s">
        <v>59</v>
      </c>
      <c r="G99" s="14">
        <v>7420.6</v>
      </c>
      <c r="H99" s="15">
        <v>1.83366857267116</v>
      </c>
      <c r="I99" s="4" t="s">
        <v>402</v>
      </c>
      <c r="J99" s="4" t="s">
        <v>39</v>
      </c>
      <c r="K99" s="4">
        <f t="shared" si="2"/>
        <v>4</v>
      </c>
      <c r="L99" s="4" t="str">
        <f t="shared" si="3"/>
        <v>Low</v>
      </c>
      <c r="M99" s="16" t="s">
        <v>26</v>
      </c>
      <c r="N99" s="17" t="s">
        <v>27</v>
      </c>
      <c r="O99" s="17" t="s">
        <v>28</v>
      </c>
      <c r="P99" s="17" t="s">
        <v>28</v>
      </c>
      <c r="Q99" s="17" t="s">
        <v>28</v>
      </c>
      <c r="R99" s="17" t="s">
        <v>28</v>
      </c>
    </row>
    <row r="100" spans="1:18">
      <c r="A100" s="4" t="s">
        <v>340</v>
      </c>
      <c r="B100" s="4" t="s">
        <v>403</v>
      </c>
      <c r="C100" s="4" t="s">
        <v>404</v>
      </c>
      <c r="D100" s="4" t="s">
        <v>405</v>
      </c>
      <c r="E100" s="4" t="s">
        <v>51</v>
      </c>
      <c r="F100" s="4" t="s">
        <v>52</v>
      </c>
      <c r="G100" s="14">
        <v>6626.5</v>
      </c>
      <c r="H100" s="15">
        <v>1.63744236272073</v>
      </c>
      <c r="I100" s="4" t="s">
        <v>406</v>
      </c>
      <c r="J100" s="4" t="s">
        <v>39</v>
      </c>
      <c r="K100" s="4">
        <f t="shared" si="2"/>
        <v>3</v>
      </c>
      <c r="L100" s="4" t="str">
        <f t="shared" si="3"/>
        <v>Low</v>
      </c>
      <c r="M100" s="16" t="s">
        <v>26</v>
      </c>
      <c r="N100" s="17" t="s">
        <v>27</v>
      </c>
      <c r="O100" s="17" t="s">
        <v>28</v>
      </c>
      <c r="P100" s="17" t="s">
        <v>28</v>
      </c>
      <c r="Q100" s="17" t="s">
        <v>28</v>
      </c>
      <c r="R100" s="17" t="s">
        <v>28</v>
      </c>
    </row>
    <row r="101" spans="1:18">
      <c r="A101" s="4" t="s">
        <v>340</v>
      </c>
      <c r="B101" s="4" t="s">
        <v>407</v>
      </c>
      <c r="C101" s="4" t="s">
        <v>408</v>
      </c>
      <c r="D101" s="4" t="s">
        <v>409</v>
      </c>
      <c r="E101" s="4" t="s">
        <v>51</v>
      </c>
      <c r="F101" s="4" t="s">
        <v>52</v>
      </c>
      <c r="G101" s="14">
        <v>5196.7</v>
      </c>
      <c r="H101" s="15">
        <v>1.28413140064149</v>
      </c>
      <c r="I101" s="4" t="s">
        <v>43</v>
      </c>
      <c r="J101" s="4" t="s">
        <v>39</v>
      </c>
      <c r="K101" s="4">
        <f t="shared" si="2"/>
        <v>3</v>
      </c>
      <c r="L101" s="4" t="str">
        <f t="shared" si="3"/>
        <v>Low</v>
      </c>
      <c r="M101" s="16" t="s">
        <v>26</v>
      </c>
      <c r="N101" s="17" t="s">
        <v>27</v>
      </c>
      <c r="O101" s="17" t="s">
        <v>28</v>
      </c>
      <c r="P101" s="17" t="s">
        <v>28</v>
      </c>
      <c r="Q101" s="17" t="s">
        <v>28</v>
      </c>
      <c r="R101" s="17" t="s">
        <v>28</v>
      </c>
    </row>
    <row r="102" spans="1:18">
      <c r="A102" s="4" t="s">
        <v>340</v>
      </c>
      <c r="B102" s="4" t="s">
        <v>410</v>
      </c>
      <c r="C102" s="4" t="s">
        <v>389</v>
      </c>
      <c r="D102" s="4" t="s">
        <v>390</v>
      </c>
      <c r="E102" s="4" t="s">
        <v>411</v>
      </c>
      <c r="F102" s="4" t="s">
        <v>66</v>
      </c>
      <c r="G102" s="14">
        <v>3975.6</v>
      </c>
      <c r="H102" s="15">
        <v>0.982391286083531</v>
      </c>
      <c r="I102" s="4" t="s">
        <v>412</v>
      </c>
      <c r="J102" s="4" t="s">
        <v>39</v>
      </c>
      <c r="K102" s="4">
        <f t="shared" si="2"/>
        <v>5</v>
      </c>
      <c r="L102" s="4" t="str">
        <f t="shared" si="3"/>
        <v>Medium</v>
      </c>
      <c r="M102" s="16" t="s">
        <v>26</v>
      </c>
      <c r="N102" s="17" t="s">
        <v>27</v>
      </c>
      <c r="O102" s="17" t="s">
        <v>28</v>
      </c>
      <c r="P102" s="17" t="s">
        <v>28</v>
      </c>
      <c r="Q102" s="17" t="s">
        <v>28</v>
      </c>
      <c r="R102" s="17" t="s">
        <v>28</v>
      </c>
    </row>
    <row r="103" spans="1:18">
      <c r="A103" s="4" t="s">
        <v>340</v>
      </c>
      <c r="B103" s="4" t="s">
        <v>413</v>
      </c>
      <c r="C103" s="4" t="s">
        <v>414</v>
      </c>
      <c r="D103" s="4" t="s">
        <v>415</v>
      </c>
      <c r="E103" s="4" t="s">
        <v>51</v>
      </c>
      <c r="F103" s="4" t="s">
        <v>52</v>
      </c>
      <c r="G103" s="14">
        <v>6857.5</v>
      </c>
      <c r="H103" s="15">
        <v>1.69452365537725</v>
      </c>
      <c r="I103" s="4" t="s">
        <v>416</v>
      </c>
      <c r="J103" s="4" t="s">
        <v>161</v>
      </c>
      <c r="K103" s="4">
        <f t="shared" si="2"/>
        <v>3</v>
      </c>
      <c r="L103" s="4" t="str">
        <f t="shared" si="3"/>
        <v>Low</v>
      </c>
      <c r="M103" s="16" t="s">
        <v>26</v>
      </c>
      <c r="N103" s="17" t="s">
        <v>27</v>
      </c>
      <c r="O103" s="17" t="s">
        <v>28</v>
      </c>
      <c r="P103" s="17" t="s">
        <v>28</v>
      </c>
      <c r="Q103" s="17" t="s">
        <v>28</v>
      </c>
      <c r="R103" s="17" t="s">
        <v>28</v>
      </c>
    </row>
    <row r="104" spans="1:18">
      <c r="A104" s="4" t="s">
        <v>340</v>
      </c>
      <c r="B104" s="4" t="s">
        <v>417</v>
      </c>
      <c r="C104" s="4" t="s">
        <v>418</v>
      </c>
      <c r="D104" s="4" t="s">
        <v>419</v>
      </c>
      <c r="E104" s="4" t="s">
        <v>51</v>
      </c>
      <c r="F104" s="4" t="s">
        <v>52</v>
      </c>
      <c r="G104" s="14">
        <v>10015.8</v>
      </c>
      <c r="H104" s="15">
        <v>2.4749558917284</v>
      </c>
      <c r="I104" s="4" t="s">
        <v>420</v>
      </c>
      <c r="J104" s="4" t="s">
        <v>54</v>
      </c>
      <c r="K104" s="4">
        <f t="shared" si="2"/>
        <v>4</v>
      </c>
      <c r="L104" s="4" t="str">
        <f t="shared" si="3"/>
        <v>Low</v>
      </c>
      <c r="M104" s="16" t="s">
        <v>26</v>
      </c>
      <c r="N104" s="17" t="s">
        <v>27</v>
      </c>
      <c r="O104" s="17" t="s">
        <v>28</v>
      </c>
      <c r="P104" s="17" t="s">
        <v>28</v>
      </c>
      <c r="Q104" s="17" t="s">
        <v>28</v>
      </c>
      <c r="R104" s="17" t="s">
        <v>28</v>
      </c>
    </row>
    <row r="105" spans="1:18">
      <c r="A105" s="4" t="s">
        <v>340</v>
      </c>
      <c r="B105" s="4" t="s">
        <v>421</v>
      </c>
      <c r="C105" s="4" t="s">
        <v>422</v>
      </c>
      <c r="D105" s="4" t="s">
        <v>423</v>
      </c>
      <c r="E105" s="4" t="s">
        <v>424</v>
      </c>
      <c r="F105" s="4" t="s">
        <v>23</v>
      </c>
      <c r="G105" s="14"/>
      <c r="H105" s="15"/>
      <c r="I105" s="4" t="s">
        <v>425</v>
      </c>
      <c r="J105" s="4" t="s">
        <v>61</v>
      </c>
      <c r="K105" s="4">
        <f t="shared" si="2"/>
        <v>4</v>
      </c>
      <c r="L105" s="4" t="str">
        <f t="shared" si="3"/>
        <v>Low</v>
      </c>
      <c r="M105" s="16" t="s">
        <v>26</v>
      </c>
      <c r="N105" s="17" t="s">
        <v>27</v>
      </c>
      <c r="O105" s="17" t="s">
        <v>28</v>
      </c>
      <c r="P105" s="17" t="s">
        <v>28</v>
      </c>
      <c r="Q105" s="17" t="s">
        <v>28</v>
      </c>
      <c r="R105" s="17" t="s">
        <v>28</v>
      </c>
    </row>
    <row r="106" spans="1:18">
      <c r="A106" s="4" t="s">
        <v>340</v>
      </c>
      <c r="B106" s="4" t="s">
        <v>426</v>
      </c>
      <c r="C106" s="4" t="s">
        <v>427</v>
      </c>
      <c r="D106" s="4" t="s">
        <v>264</v>
      </c>
      <c r="E106" s="4" t="s">
        <v>124</v>
      </c>
      <c r="F106" s="4" t="s">
        <v>23</v>
      </c>
      <c r="G106" s="14"/>
      <c r="H106" s="15"/>
      <c r="I106" s="4" t="s">
        <v>428</v>
      </c>
      <c r="J106" s="4" t="s">
        <v>68</v>
      </c>
      <c r="K106" s="4">
        <f t="shared" si="2"/>
        <v>4</v>
      </c>
      <c r="L106" s="4" t="str">
        <f t="shared" si="3"/>
        <v>Low</v>
      </c>
      <c r="M106" s="16" t="s">
        <v>26</v>
      </c>
      <c r="N106" s="17" t="s">
        <v>27</v>
      </c>
      <c r="O106" s="17" t="s">
        <v>28</v>
      </c>
      <c r="P106" s="17" t="s">
        <v>28</v>
      </c>
      <c r="Q106" s="17" t="s">
        <v>28</v>
      </c>
      <c r="R106" s="17" t="s">
        <v>28</v>
      </c>
    </row>
    <row r="107" spans="1:18">
      <c r="A107" s="4" t="s">
        <v>340</v>
      </c>
      <c r="B107" s="4" t="s">
        <v>429</v>
      </c>
      <c r="C107" s="4" t="s">
        <v>430</v>
      </c>
      <c r="D107" s="4" t="s">
        <v>431</v>
      </c>
      <c r="E107" s="4" t="s">
        <v>432</v>
      </c>
      <c r="F107" s="4" t="s">
        <v>23</v>
      </c>
      <c r="G107" s="14"/>
      <c r="H107" s="15"/>
      <c r="I107" s="4" t="s">
        <v>433</v>
      </c>
      <c r="J107" s="4" t="s">
        <v>72</v>
      </c>
      <c r="K107" s="4">
        <f t="shared" si="2"/>
        <v>4</v>
      </c>
      <c r="L107" s="4" t="str">
        <f t="shared" si="3"/>
        <v>Low</v>
      </c>
      <c r="M107" s="16" t="s">
        <v>26</v>
      </c>
      <c r="N107" s="17" t="s">
        <v>27</v>
      </c>
      <c r="O107" s="17" t="s">
        <v>28</v>
      </c>
      <c r="P107" s="17" t="s">
        <v>28</v>
      </c>
      <c r="Q107" s="17" t="s">
        <v>28</v>
      </c>
      <c r="R107" s="17" t="s">
        <v>28</v>
      </c>
    </row>
    <row r="108" spans="1:18">
      <c r="A108" s="4" t="s">
        <v>434</v>
      </c>
      <c r="B108" s="4" t="s">
        <v>435</v>
      </c>
      <c r="C108" s="4" t="s">
        <v>436</v>
      </c>
      <c r="D108" s="4" t="s">
        <v>437</v>
      </c>
      <c r="E108" s="4" t="s">
        <v>84</v>
      </c>
      <c r="F108" s="4" t="s">
        <v>33</v>
      </c>
      <c r="G108" s="14">
        <v>21362.4</v>
      </c>
      <c r="H108" s="15">
        <v>5.27875933439753</v>
      </c>
      <c r="I108" s="4" t="s">
        <v>438</v>
      </c>
      <c r="J108" s="4" t="s">
        <v>35</v>
      </c>
      <c r="K108" s="4">
        <f t="shared" si="2"/>
        <v>9</v>
      </c>
      <c r="L108" s="4" t="str">
        <f t="shared" si="3"/>
        <v>High</v>
      </c>
      <c r="M108" s="16" t="s">
        <v>26</v>
      </c>
      <c r="N108" s="17" t="s">
        <v>27</v>
      </c>
      <c r="O108" s="17" t="s">
        <v>28</v>
      </c>
      <c r="P108" s="17" t="s">
        <v>28</v>
      </c>
      <c r="Q108" s="17" t="s">
        <v>28</v>
      </c>
      <c r="R108" s="17" t="s">
        <v>28</v>
      </c>
    </row>
    <row r="109" spans="1:18">
      <c r="A109" s="4" t="s">
        <v>434</v>
      </c>
      <c r="B109" s="4" t="s">
        <v>439</v>
      </c>
      <c r="C109" s="4" t="s">
        <v>440</v>
      </c>
      <c r="D109" s="4" t="s">
        <v>441</v>
      </c>
      <c r="E109" s="4" t="s">
        <v>265</v>
      </c>
      <c r="F109" s="4" t="s">
        <v>66</v>
      </c>
      <c r="G109" s="14">
        <v>11533.55</v>
      </c>
      <c r="H109" s="15">
        <v>2.84999975289484</v>
      </c>
      <c r="I109" s="4" t="s">
        <v>442</v>
      </c>
      <c r="J109" s="4" t="s">
        <v>35</v>
      </c>
      <c r="K109" s="4">
        <f t="shared" si="2"/>
        <v>7</v>
      </c>
      <c r="L109" s="4" t="str">
        <f t="shared" si="3"/>
        <v>High</v>
      </c>
      <c r="M109" s="16" t="s">
        <v>26</v>
      </c>
      <c r="N109" s="17" t="s">
        <v>27</v>
      </c>
      <c r="O109" s="17" t="s">
        <v>28</v>
      </c>
      <c r="P109" s="17" t="s">
        <v>28</v>
      </c>
      <c r="Q109" s="17" t="s">
        <v>28</v>
      </c>
      <c r="R109" s="17" t="s">
        <v>28</v>
      </c>
    </row>
    <row r="110" spans="1:18">
      <c r="A110" s="4" t="s">
        <v>434</v>
      </c>
      <c r="B110" s="4" t="s">
        <v>443</v>
      </c>
      <c r="C110" s="4" t="s">
        <v>444</v>
      </c>
      <c r="D110" s="4" t="s">
        <v>445</v>
      </c>
      <c r="E110" s="4" t="s">
        <v>51</v>
      </c>
      <c r="F110" s="4" t="s">
        <v>52</v>
      </c>
      <c r="G110" s="14">
        <v>9893.02</v>
      </c>
      <c r="H110" s="15">
        <v>2.44461631981339</v>
      </c>
      <c r="I110" s="4" t="s">
        <v>120</v>
      </c>
      <c r="J110" s="4" t="s">
        <v>35</v>
      </c>
      <c r="K110" s="4">
        <f t="shared" si="2"/>
        <v>5</v>
      </c>
      <c r="L110" s="4" t="str">
        <f t="shared" si="3"/>
        <v>Medium</v>
      </c>
      <c r="M110" s="16" t="s">
        <v>26</v>
      </c>
      <c r="N110" s="17" t="s">
        <v>27</v>
      </c>
      <c r="O110" s="17" t="s">
        <v>28</v>
      </c>
      <c r="P110" s="17" t="s">
        <v>28</v>
      </c>
      <c r="Q110" s="17" t="s">
        <v>28</v>
      </c>
      <c r="R110" s="17" t="s">
        <v>28</v>
      </c>
    </row>
    <row r="111" spans="1:18">
      <c r="A111" s="4" t="s">
        <v>434</v>
      </c>
      <c r="B111" s="4" t="s">
        <v>446</v>
      </c>
      <c r="C111" s="4" t="s">
        <v>447</v>
      </c>
      <c r="D111" s="4" t="s">
        <v>448</v>
      </c>
      <c r="E111" s="4" t="s">
        <v>58</v>
      </c>
      <c r="F111" s="4" t="s">
        <v>59</v>
      </c>
      <c r="G111" s="14">
        <v>5460.1</v>
      </c>
      <c r="H111" s="15">
        <v>1.34921890057971</v>
      </c>
      <c r="I111" s="4" t="s">
        <v>449</v>
      </c>
      <c r="J111" s="4" t="s">
        <v>35</v>
      </c>
      <c r="K111" s="4">
        <f t="shared" si="2"/>
        <v>5</v>
      </c>
      <c r="L111" s="4" t="str">
        <f t="shared" si="3"/>
        <v>Medium</v>
      </c>
      <c r="M111" s="16" t="s">
        <v>26</v>
      </c>
      <c r="N111" s="17" t="s">
        <v>27</v>
      </c>
      <c r="O111" s="17" t="s">
        <v>28</v>
      </c>
      <c r="P111" s="17" t="s">
        <v>28</v>
      </c>
      <c r="Q111" s="17" t="s">
        <v>28</v>
      </c>
      <c r="R111" s="17" t="s">
        <v>28</v>
      </c>
    </row>
    <row r="112" spans="1:18">
      <c r="A112" s="4" t="s">
        <v>434</v>
      </c>
      <c r="B112" s="4" t="s">
        <v>450</v>
      </c>
      <c r="C112" s="4" t="s">
        <v>451</v>
      </c>
      <c r="D112" s="4" t="s">
        <v>452</v>
      </c>
      <c r="E112" s="4" t="s">
        <v>51</v>
      </c>
      <c r="F112" s="4" t="s">
        <v>52</v>
      </c>
      <c r="G112" s="14">
        <v>5321.1</v>
      </c>
      <c r="H112" s="15">
        <v>1.31487128292059</v>
      </c>
      <c r="I112" s="4" t="s">
        <v>453</v>
      </c>
      <c r="J112" s="4" t="s">
        <v>35</v>
      </c>
      <c r="K112" s="4">
        <f t="shared" si="2"/>
        <v>4</v>
      </c>
      <c r="L112" s="4" t="str">
        <f t="shared" si="3"/>
        <v>Low</v>
      </c>
      <c r="M112" s="16" t="s">
        <v>26</v>
      </c>
      <c r="N112" s="17" t="s">
        <v>27</v>
      </c>
      <c r="O112" s="17" t="s">
        <v>28</v>
      </c>
      <c r="P112" s="17" t="s">
        <v>28</v>
      </c>
      <c r="Q112" s="17" t="s">
        <v>28</v>
      </c>
      <c r="R112" s="17" t="s">
        <v>28</v>
      </c>
    </row>
    <row r="113" spans="1:18">
      <c r="A113" s="4" t="s">
        <v>434</v>
      </c>
      <c r="B113" s="4" t="s">
        <v>454</v>
      </c>
      <c r="C113" s="4" t="s">
        <v>455</v>
      </c>
      <c r="D113" s="4" t="s">
        <v>456</v>
      </c>
      <c r="E113" s="4" t="s">
        <v>265</v>
      </c>
      <c r="F113" s="4" t="s">
        <v>66</v>
      </c>
      <c r="G113" s="14">
        <v>16221.6</v>
      </c>
      <c r="H113" s="15">
        <v>4.0084411123686</v>
      </c>
      <c r="I113" s="4" t="s">
        <v>457</v>
      </c>
      <c r="J113" s="4" t="s">
        <v>39</v>
      </c>
      <c r="K113" s="4">
        <f t="shared" si="2"/>
        <v>7</v>
      </c>
      <c r="L113" s="4" t="str">
        <f t="shared" si="3"/>
        <v>High</v>
      </c>
      <c r="M113" s="16" t="s">
        <v>26</v>
      </c>
      <c r="N113" s="17" t="s">
        <v>27</v>
      </c>
      <c r="O113" s="17" t="s">
        <v>28</v>
      </c>
      <c r="P113" s="17" t="s">
        <v>28</v>
      </c>
      <c r="Q113" s="17" t="s">
        <v>28</v>
      </c>
      <c r="R113" s="17" t="s">
        <v>28</v>
      </c>
    </row>
    <row r="114" spans="1:18">
      <c r="A114" s="4" t="s">
        <v>434</v>
      </c>
      <c r="B114" s="4" t="s">
        <v>458</v>
      </c>
      <c r="C114" s="4" t="s">
        <v>459</v>
      </c>
      <c r="D114" s="4" t="s">
        <v>460</v>
      </c>
      <c r="E114" s="4" t="s">
        <v>155</v>
      </c>
      <c r="F114" s="4" t="s">
        <v>23</v>
      </c>
      <c r="G114" s="14">
        <v>8007.3</v>
      </c>
      <c r="H114" s="15">
        <v>1.97864517181222</v>
      </c>
      <c r="I114" s="4" t="s">
        <v>461</v>
      </c>
      <c r="J114" s="4" t="s">
        <v>39</v>
      </c>
      <c r="K114" s="4">
        <f t="shared" si="2"/>
        <v>5</v>
      </c>
      <c r="L114" s="4" t="str">
        <f t="shared" si="3"/>
        <v>Medium</v>
      </c>
      <c r="M114" s="16" t="s">
        <v>26</v>
      </c>
      <c r="N114" s="17" t="s">
        <v>27</v>
      </c>
      <c r="O114" s="17" t="s">
        <v>28</v>
      </c>
      <c r="P114" s="17" t="s">
        <v>28</v>
      </c>
      <c r="Q114" s="17" t="s">
        <v>28</v>
      </c>
      <c r="R114" s="17" t="s">
        <v>28</v>
      </c>
    </row>
    <row r="115" spans="1:18">
      <c r="A115" s="4" t="s">
        <v>434</v>
      </c>
      <c r="B115" s="4" t="s">
        <v>462</v>
      </c>
      <c r="C115" s="4" t="s">
        <v>463</v>
      </c>
      <c r="D115" s="4" t="s">
        <v>437</v>
      </c>
      <c r="E115" s="4" t="s">
        <v>84</v>
      </c>
      <c r="F115" s="4" t="s">
        <v>33</v>
      </c>
      <c r="G115" s="14">
        <v>18189.08</v>
      </c>
      <c r="H115" s="15">
        <v>4.4946155784979</v>
      </c>
      <c r="I115" s="4" t="s">
        <v>464</v>
      </c>
      <c r="J115" s="4" t="s">
        <v>161</v>
      </c>
      <c r="K115" s="4">
        <f t="shared" si="2"/>
        <v>8</v>
      </c>
      <c r="L115" s="4" t="str">
        <f t="shared" si="3"/>
        <v>High</v>
      </c>
      <c r="M115" s="16" t="s">
        <v>26</v>
      </c>
      <c r="N115" s="17" t="s">
        <v>27</v>
      </c>
      <c r="O115" s="17" t="s">
        <v>28</v>
      </c>
      <c r="P115" s="17" t="s">
        <v>28</v>
      </c>
      <c r="Q115" s="17" t="s">
        <v>28</v>
      </c>
      <c r="R115" s="17" t="s">
        <v>28</v>
      </c>
    </row>
    <row r="116" spans="1:18">
      <c r="A116" s="4" t="s">
        <v>434</v>
      </c>
      <c r="B116" s="4" t="s">
        <v>465</v>
      </c>
      <c r="C116" s="4" t="s">
        <v>466</v>
      </c>
      <c r="D116" s="4" t="s">
        <v>467</v>
      </c>
      <c r="E116" s="4" t="s">
        <v>51</v>
      </c>
      <c r="F116" s="4" t="s">
        <v>52</v>
      </c>
      <c r="G116" s="14">
        <v>6234.3</v>
      </c>
      <c r="H116" s="15">
        <v>1.54052771778613</v>
      </c>
      <c r="I116" s="4" t="s">
        <v>468</v>
      </c>
      <c r="J116" s="4" t="s">
        <v>161</v>
      </c>
      <c r="K116" s="4">
        <f t="shared" si="2"/>
        <v>3</v>
      </c>
      <c r="L116" s="4" t="str">
        <f t="shared" si="3"/>
        <v>Low</v>
      </c>
      <c r="M116" s="16" t="s">
        <v>26</v>
      </c>
      <c r="N116" s="17" t="s">
        <v>27</v>
      </c>
      <c r="O116" s="17" t="s">
        <v>28</v>
      </c>
      <c r="P116" s="17" t="s">
        <v>28</v>
      </c>
      <c r="Q116" s="17" t="s">
        <v>28</v>
      </c>
      <c r="R116" s="17" t="s">
        <v>28</v>
      </c>
    </row>
    <row r="117" spans="1:18">
      <c r="A117" s="4" t="s">
        <v>434</v>
      </c>
      <c r="B117" s="4" t="s">
        <v>469</v>
      </c>
      <c r="C117" s="4" t="s">
        <v>470</v>
      </c>
      <c r="D117" s="4" t="s">
        <v>460</v>
      </c>
      <c r="E117" s="4" t="s">
        <v>23</v>
      </c>
      <c r="F117" s="4" t="s">
        <v>23</v>
      </c>
      <c r="G117" s="14">
        <v>4469.8</v>
      </c>
      <c r="H117" s="15">
        <v>1.10451065764568</v>
      </c>
      <c r="I117" s="4" t="s">
        <v>174</v>
      </c>
      <c r="J117" s="4" t="s">
        <v>161</v>
      </c>
      <c r="K117" s="4">
        <f t="shared" si="2"/>
        <v>5</v>
      </c>
      <c r="L117" s="4" t="str">
        <f t="shared" si="3"/>
        <v>Medium</v>
      </c>
      <c r="M117" s="16" t="s">
        <v>26</v>
      </c>
      <c r="N117" s="17" t="s">
        <v>27</v>
      </c>
      <c r="O117" s="17" t="s">
        <v>28</v>
      </c>
      <c r="P117" s="17" t="s">
        <v>28</v>
      </c>
      <c r="Q117" s="17" t="s">
        <v>28</v>
      </c>
      <c r="R117" s="17" t="s">
        <v>28</v>
      </c>
    </row>
    <row r="118" spans="1:18">
      <c r="A118" s="4" t="s">
        <v>434</v>
      </c>
      <c r="B118" s="4" t="s">
        <v>471</v>
      </c>
      <c r="C118" s="4" t="s">
        <v>472</v>
      </c>
      <c r="D118" s="4" t="s">
        <v>456</v>
      </c>
      <c r="E118" s="4" t="s">
        <v>411</v>
      </c>
      <c r="F118" s="4" t="s">
        <v>66</v>
      </c>
      <c r="G118" s="14">
        <v>17375.54</v>
      </c>
      <c r="H118" s="15">
        <v>4.29358564417845</v>
      </c>
      <c r="I118" s="4" t="s">
        <v>473</v>
      </c>
      <c r="J118" s="4" t="s">
        <v>54</v>
      </c>
      <c r="K118" s="4">
        <f t="shared" si="2"/>
        <v>7</v>
      </c>
      <c r="L118" s="4" t="str">
        <f t="shared" si="3"/>
        <v>High</v>
      </c>
      <c r="M118" s="16" t="s">
        <v>26</v>
      </c>
      <c r="N118" s="17" t="s">
        <v>27</v>
      </c>
      <c r="O118" s="17" t="s">
        <v>28</v>
      </c>
      <c r="P118" s="17" t="s">
        <v>28</v>
      </c>
      <c r="Q118" s="17" t="s">
        <v>28</v>
      </c>
      <c r="R118" s="17" t="s">
        <v>28</v>
      </c>
    </row>
    <row r="119" spans="1:18">
      <c r="A119" s="4" t="s">
        <v>434</v>
      </c>
      <c r="B119" s="4" t="s">
        <v>474</v>
      </c>
      <c r="C119" s="4" t="s">
        <v>475</v>
      </c>
      <c r="D119" s="4" t="s">
        <v>476</v>
      </c>
      <c r="E119" s="4" t="s">
        <v>58</v>
      </c>
      <c r="F119" s="4" t="s">
        <v>59</v>
      </c>
      <c r="G119" s="14">
        <v>12165.17</v>
      </c>
      <c r="H119" s="15">
        <v>3.00607631595855</v>
      </c>
      <c r="I119" s="4" t="s">
        <v>477</v>
      </c>
      <c r="J119" s="4" t="s">
        <v>54</v>
      </c>
      <c r="K119" s="4">
        <f t="shared" si="2"/>
        <v>5</v>
      </c>
      <c r="L119" s="4" t="str">
        <f t="shared" si="3"/>
        <v>Medium</v>
      </c>
      <c r="M119" s="16" t="s">
        <v>26</v>
      </c>
      <c r="N119" s="17" t="s">
        <v>27</v>
      </c>
      <c r="O119" s="17" t="s">
        <v>28</v>
      </c>
      <c r="P119" s="17" t="s">
        <v>28</v>
      </c>
      <c r="Q119" s="17" t="s">
        <v>28</v>
      </c>
      <c r="R119" s="17" t="s">
        <v>28</v>
      </c>
    </row>
    <row r="120" spans="1:18">
      <c r="A120" s="4" t="s">
        <v>434</v>
      </c>
      <c r="B120" s="4" t="s">
        <v>478</v>
      </c>
      <c r="C120" s="4" t="s">
        <v>479</v>
      </c>
      <c r="D120" s="4" t="s">
        <v>480</v>
      </c>
      <c r="E120" s="4" t="s">
        <v>124</v>
      </c>
      <c r="F120" s="4" t="s">
        <v>23</v>
      </c>
      <c r="G120" s="14">
        <v>4367.8</v>
      </c>
      <c r="H120" s="15">
        <v>1.07930593101812</v>
      </c>
      <c r="I120" s="4" t="s">
        <v>481</v>
      </c>
      <c r="J120" s="4" t="s">
        <v>54</v>
      </c>
      <c r="K120" s="4">
        <f t="shared" si="2"/>
        <v>5</v>
      </c>
      <c r="L120" s="4" t="str">
        <f t="shared" si="3"/>
        <v>Medium</v>
      </c>
      <c r="M120" s="16" t="s">
        <v>26</v>
      </c>
      <c r="N120" s="17" t="s">
        <v>27</v>
      </c>
      <c r="O120" s="17" t="s">
        <v>28</v>
      </c>
      <c r="P120" s="17" t="s">
        <v>28</v>
      </c>
      <c r="Q120" s="17" t="s">
        <v>28</v>
      </c>
      <c r="R120" s="17" t="s">
        <v>28</v>
      </c>
    </row>
    <row r="121" spans="1:18">
      <c r="A121" s="4" t="s">
        <v>434</v>
      </c>
      <c r="B121" s="4" t="s">
        <v>482</v>
      </c>
      <c r="C121" s="4" t="s">
        <v>483</v>
      </c>
      <c r="D121" s="4" t="s">
        <v>484</v>
      </c>
      <c r="E121" s="4" t="s">
        <v>51</v>
      </c>
      <c r="F121" s="4" t="s">
        <v>52</v>
      </c>
      <c r="G121" s="14">
        <v>1279</v>
      </c>
      <c r="H121" s="15">
        <v>0.316047503496538</v>
      </c>
      <c r="I121" s="4" t="s">
        <v>485</v>
      </c>
      <c r="J121" s="4" t="s">
        <v>54</v>
      </c>
      <c r="K121" s="4">
        <f t="shared" si="2"/>
        <v>3</v>
      </c>
      <c r="L121" s="4" t="str">
        <f t="shared" si="3"/>
        <v>Low</v>
      </c>
      <c r="M121" s="16" t="s">
        <v>26</v>
      </c>
      <c r="N121" s="17" t="s">
        <v>27</v>
      </c>
      <c r="O121" s="17" t="s">
        <v>28</v>
      </c>
      <c r="P121" s="17" t="s">
        <v>28</v>
      </c>
      <c r="Q121" s="17" t="s">
        <v>28</v>
      </c>
      <c r="R121" s="17" t="s">
        <v>28</v>
      </c>
    </row>
    <row r="122" spans="1:18">
      <c r="A122" s="4" t="s">
        <v>434</v>
      </c>
      <c r="B122" s="4" t="s">
        <v>486</v>
      </c>
      <c r="C122" s="4" t="s">
        <v>487</v>
      </c>
      <c r="D122" s="4" t="s">
        <v>488</v>
      </c>
      <c r="E122" s="4" t="s">
        <v>489</v>
      </c>
      <c r="F122" s="4" t="s">
        <v>23</v>
      </c>
      <c r="G122" s="14"/>
      <c r="H122" s="15"/>
      <c r="I122" s="4" t="s">
        <v>490</v>
      </c>
      <c r="J122" s="4" t="s">
        <v>328</v>
      </c>
      <c r="K122" s="4">
        <f t="shared" si="2"/>
        <v>4</v>
      </c>
      <c r="L122" s="4" t="str">
        <f t="shared" si="3"/>
        <v>Low</v>
      </c>
      <c r="M122" s="16" t="s">
        <v>26</v>
      </c>
      <c r="N122" s="17" t="s">
        <v>27</v>
      </c>
      <c r="O122" s="17" t="s">
        <v>28</v>
      </c>
      <c r="P122" s="17" t="s">
        <v>28</v>
      </c>
      <c r="Q122" s="17" t="s">
        <v>28</v>
      </c>
      <c r="R122" s="17" t="s">
        <v>28</v>
      </c>
    </row>
    <row r="123" spans="1:18">
      <c r="A123" s="4" t="s">
        <v>491</v>
      </c>
      <c r="B123" s="4" t="s">
        <v>492</v>
      </c>
      <c r="C123" s="4" t="s">
        <v>493</v>
      </c>
      <c r="D123" s="4" t="s">
        <v>494</v>
      </c>
      <c r="E123" s="4" t="s">
        <v>51</v>
      </c>
      <c r="F123" s="4" t="s">
        <v>52</v>
      </c>
      <c r="G123" s="14">
        <v>8043</v>
      </c>
      <c r="H123" s="15">
        <v>1.98746682613187</v>
      </c>
      <c r="I123" s="4" t="s">
        <v>495</v>
      </c>
      <c r="J123" s="4" t="s">
        <v>35</v>
      </c>
      <c r="K123" s="4">
        <f t="shared" si="2"/>
        <v>4</v>
      </c>
      <c r="L123" s="4" t="str">
        <f t="shared" si="3"/>
        <v>Low</v>
      </c>
      <c r="M123" s="16" t="s">
        <v>26</v>
      </c>
      <c r="N123" s="17" t="s">
        <v>27</v>
      </c>
      <c r="O123" s="17" t="s">
        <v>28</v>
      </c>
      <c r="P123" s="17" t="s">
        <v>28</v>
      </c>
      <c r="Q123" s="17" t="s">
        <v>28</v>
      </c>
      <c r="R123" s="17" t="s">
        <v>28</v>
      </c>
    </row>
    <row r="124" spans="1:18">
      <c r="A124" s="4" t="s">
        <v>491</v>
      </c>
      <c r="B124" s="4" t="s">
        <v>496</v>
      </c>
      <c r="C124" s="4" t="s">
        <v>497</v>
      </c>
      <c r="D124" s="4" t="s">
        <v>498</v>
      </c>
      <c r="E124" s="4" t="s">
        <v>51</v>
      </c>
      <c r="F124" s="4" t="s">
        <v>52</v>
      </c>
      <c r="G124" s="14">
        <v>4249.1</v>
      </c>
      <c r="H124" s="15">
        <v>1.04997454816821</v>
      </c>
      <c r="I124" s="4" t="s">
        <v>499</v>
      </c>
      <c r="J124" s="4" t="s">
        <v>35</v>
      </c>
      <c r="K124" s="4">
        <f t="shared" si="2"/>
        <v>4</v>
      </c>
      <c r="L124" s="4" t="str">
        <f t="shared" si="3"/>
        <v>Low</v>
      </c>
      <c r="M124" s="16" t="s">
        <v>26</v>
      </c>
      <c r="N124" s="17" t="s">
        <v>27</v>
      </c>
      <c r="O124" s="17" t="s">
        <v>28</v>
      </c>
      <c r="P124" s="17" t="s">
        <v>28</v>
      </c>
      <c r="Q124" s="17" t="s">
        <v>28</v>
      </c>
      <c r="R124" s="17" t="s">
        <v>28</v>
      </c>
    </row>
    <row r="125" spans="1:18">
      <c r="A125" s="4" t="s">
        <v>491</v>
      </c>
      <c r="B125" s="4" t="s">
        <v>500</v>
      </c>
      <c r="C125" s="4" t="s">
        <v>501</v>
      </c>
      <c r="D125" s="4" t="s">
        <v>502</v>
      </c>
      <c r="E125" s="4" t="s">
        <v>58</v>
      </c>
      <c r="F125" s="4" t="s">
        <v>59</v>
      </c>
      <c r="G125" s="14">
        <v>12140.5</v>
      </c>
      <c r="H125" s="15">
        <v>2.99998023158696</v>
      </c>
      <c r="I125" s="4" t="s">
        <v>234</v>
      </c>
      <c r="J125" s="4" t="s">
        <v>126</v>
      </c>
      <c r="K125" s="4">
        <f t="shared" si="2"/>
        <v>6</v>
      </c>
      <c r="L125" s="4" t="str">
        <f t="shared" si="3"/>
        <v>Medium</v>
      </c>
      <c r="M125" s="16" t="s">
        <v>26</v>
      </c>
      <c r="N125" s="17" t="s">
        <v>27</v>
      </c>
      <c r="O125" s="17" t="s">
        <v>28</v>
      </c>
      <c r="P125" s="17" t="s">
        <v>28</v>
      </c>
      <c r="Q125" s="17" t="s">
        <v>28</v>
      </c>
      <c r="R125" s="17" t="s">
        <v>28</v>
      </c>
    </row>
    <row r="126" spans="1:18">
      <c r="A126" s="4" t="s">
        <v>491</v>
      </c>
      <c r="B126" s="4" t="s">
        <v>503</v>
      </c>
      <c r="C126" s="4" t="s">
        <v>504</v>
      </c>
      <c r="D126" s="4" t="s">
        <v>498</v>
      </c>
      <c r="E126" s="4" t="s">
        <v>51</v>
      </c>
      <c r="F126" s="4" t="s">
        <v>52</v>
      </c>
      <c r="G126" s="14">
        <v>10251.9</v>
      </c>
      <c r="H126" s="15">
        <v>2.53329742071631</v>
      </c>
      <c r="I126" s="4" t="s">
        <v>505</v>
      </c>
      <c r="J126" s="4" t="s">
        <v>126</v>
      </c>
      <c r="K126" s="4">
        <f t="shared" si="2"/>
        <v>5</v>
      </c>
      <c r="L126" s="4" t="str">
        <f t="shared" si="3"/>
        <v>Medium</v>
      </c>
      <c r="M126" s="16" t="s">
        <v>26</v>
      </c>
      <c r="N126" s="17" t="s">
        <v>27</v>
      </c>
      <c r="O126" s="17" t="s">
        <v>28</v>
      </c>
      <c r="P126" s="17" t="s">
        <v>28</v>
      </c>
      <c r="Q126" s="17" t="s">
        <v>28</v>
      </c>
      <c r="R126" s="17" t="s">
        <v>28</v>
      </c>
    </row>
    <row r="127" spans="1:18">
      <c r="A127" s="4" t="s">
        <v>491</v>
      </c>
      <c r="B127" s="4" t="s">
        <v>506</v>
      </c>
      <c r="C127" s="4" t="s">
        <v>507</v>
      </c>
      <c r="D127" s="4" t="s">
        <v>498</v>
      </c>
      <c r="E127" s="4" t="s">
        <v>51</v>
      </c>
      <c r="F127" s="4" t="s">
        <v>52</v>
      </c>
      <c r="G127" s="14">
        <v>10066.4</v>
      </c>
      <c r="H127" s="15">
        <v>2.48745941297698</v>
      </c>
      <c r="I127" s="4" t="s">
        <v>134</v>
      </c>
      <c r="J127" s="4" t="s">
        <v>126</v>
      </c>
      <c r="K127" s="4">
        <f t="shared" si="2"/>
        <v>5</v>
      </c>
      <c r="L127" s="4" t="str">
        <f t="shared" si="3"/>
        <v>Medium</v>
      </c>
      <c r="M127" s="16" t="s">
        <v>26</v>
      </c>
      <c r="N127" s="17" t="s">
        <v>27</v>
      </c>
      <c r="O127" s="17" t="s">
        <v>28</v>
      </c>
      <c r="P127" s="17" t="s">
        <v>28</v>
      </c>
      <c r="Q127" s="17" t="s">
        <v>28</v>
      </c>
      <c r="R127" s="17" t="s">
        <v>28</v>
      </c>
    </row>
    <row r="128" spans="1:18">
      <c r="A128" s="4" t="s">
        <v>491</v>
      </c>
      <c r="B128" s="4" t="s">
        <v>508</v>
      </c>
      <c r="C128" s="4" t="s">
        <v>509</v>
      </c>
      <c r="D128" s="4" t="s">
        <v>498</v>
      </c>
      <c r="E128" s="4" t="s">
        <v>51</v>
      </c>
      <c r="F128" s="4" t="s">
        <v>52</v>
      </c>
      <c r="G128" s="14">
        <v>7764.8</v>
      </c>
      <c r="H128" s="15">
        <v>1.91872216978102</v>
      </c>
      <c r="I128" s="4" t="s">
        <v>510</v>
      </c>
      <c r="J128" s="4" t="s">
        <v>126</v>
      </c>
      <c r="K128" s="4">
        <f t="shared" si="2"/>
        <v>4</v>
      </c>
      <c r="L128" s="4" t="str">
        <f t="shared" si="3"/>
        <v>Low</v>
      </c>
      <c r="M128" s="16" t="s">
        <v>26</v>
      </c>
      <c r="N128" s="17" t="s">
        <v>27</v>
      </c>
      <c r="O128" s="17" t="s">
        <v>28</v>
      </c>
      <c r="P128" s="17" t="s">
        <v>28</v>
      </c>
      <c r="Q128" s="17" t="s">
        <v>28</v>
      </c>
      <c r="R128" s="17" t="s">
        <v>28</v>
      </c>
    </row>
    <row r="129" spans="1:18">
      <c r="A129" s="4" t="s">
        <v>491</v>
      </c>
      <c r="B129" s="4" t="s">
        <v>511</v>
      </c>
      <c r="C129" s="4" t="s">
        <v>512</v>
      </c>
      <c r="D129" s="4" t="s">
        <v>513</v>
      </c>
      <c r="E129" s="4" t="s">
        <v>214</v>
      </c>
      <c r="F129" s="4" t="s">
        <v>33</v>
      </c>
      <c r="G129" s="14">
        <v>5029.1</v>
      </c>
      <c r="H129" s="15">
        <v>1.24271657532013</v>
      </c>
      <c r="I129" s="4" t="s">
        <v>306</v>
      </c>
      <c r="J129" s="4" t="s">
        <v>126</v>
      </c>
      <c r="K129" s="4">
        <f t="shared" si="2"/>
        <v>7</v>
      </c>
      <c r="L129" s="4" t="str">
        <f t="shared" si="3"/>
        <v>High</v>
      </c>
      <c r="M129" s="16" t="s">
        <v>26</v>
      </c>
      <c r="N129" s="17" t="s">
        <v>27</v>
      </c>
      <c r="O129" s="17" t="s">
        <v>28</v>
      </c>
      <c r="P129" s="17" t="s">
        <v>28</v>
      </c>
      <c r="Q129" s="17" t="s">
        <v>28</v>
      </c>
      <c r="R129" s="17" t="s">
        <v>28</v>
      </c>
    </row>
    <row r="130" spans="1:18">
      <c r="A130" s="4" t="s">
        <v>491</v>
      </c>
      <c r="B130" s="4" t="s">
        <v>514</v>
      </c>
      <c r="C130" s="4" t="s">
        <v>515</v>
      </c>
      <c r="D130" s="4" t="s">
        <v>516</v>
      </c>
      <c r="E130" s="4" t="s">
        <v>58</v>
      </c>
      <c r="F130" s="4" t="s">
        <v>59</v>
      </c>
      <c r="G130" s="14">
        <v>20917.01</v>
      </c>
      <c r="H130" s="15">
        <v>5.16870116584216</v>
      </c>
      <c r="I130" s="4" t="s">
        <v>517</v>
      </c>
      <c r="J130" s="4" t="s">
        <v>39</v>
      </c>
      <c r="K130" s="4">
        <f t="shared" ref="K130:K141" si="4">IF($F130="Hotel",5,IF($F130="Motel",4,IF($F130="Resort",4,IF($F130="Amusement",4,IF($F130="Banquet",3,2)))))+IF($H130&gt;=4,2,IF($H130&gt;=2,1,0))+IF(VALUE($J130)&gt;=2024,2,IF(VALUE($J130)&gt;=2021,1,0))</f>
        <v>6</v>
      </c>
      <c r="L130" s="4" t="str">
        <f t="shared" ref="L130:L141" si="5">IF($K130&gt;=7,"High",IF($K130&gt;=5,"Medium","Low"))</f>
        <v>Medium</v>
      </c>
      <c r="M130" s="16" t="s">
        <v>26</v>
      </c>
      <c r="N130" s="17" t="s">
        <v>27</v>
      </c>
      <c r="O130" s="17" t="s">
        <v>28</v>
      </c>
      <c r="P130" s="17" t="s">
        <v>28</v>
      </c>
      <c r="Q130" s="17" t="s">
        <v>28</v>
      </c>
      <c r="R130" s="17" t="s">
        <v>28</v>
      </c>
    </row>
    <row r="131" spans="1:18">
      <c r="A131" s="4" t="s">
        <v>491</v>
      </c>
      <c r="B131" s="4" t="s">
        <v>518</v>
      </c>
      <c r="C131" s="4" t="s">
        <v>519</v>
      </c>
      <c r="D131" s="4" t="s">
        <v>520</v>
      </c>
      <c r="E131" s="4" t="s">
        <v>51</v>
      </c>
      <c r="F131" s="4" t="s">
        <v>52</v>
      </c>
      <c r="G131" s="14">
        <v>13936.3</v>
      </c>
      <c r="H131" s="15">
        <v>3.44373168332979</v>
      </c>
      <c r="I131" s="4" t="s">
        <v>521</v>
      </c>
      <c r="J131" s="4" t="s">
        <v>39</v>
      </c>
      <c r="K131" s="4">
        <f t="shared" si="4"/>
        <v>4</v>
      </c>
      <c r="L131" s="4" t="str">
        <f t="shared" si="5"/>
        <v>Low</v>
      </c>
      <c r="M131" s="16" t="s">
        <v>26</v>
      </c>
      <c r="N131" s="17" t="s">
        <v>27</v>
      </c>
      <c r="O131" s="17" t="s">
        <v>28</v>
      </c>
      <c r="P131" s="17" t="s">
        <v>28</v>
      </c>
      <c r="Q131" s="17" t="s">
        <v>28</v>
      </c>
      <c r="R131" s="17" t="s">
        <v>28</v>
      </c>
    </row>
    <row r="132" spans="1:18">
      <c r="A132" s="4" t="s">
        <v>491</v>
      </c>
      <c r="B132" s="4" t="s">
        <v>522</v>
      </c>
      <c r="C132" s="4" t="s">
        <v>523</v>
      </c>
      <c r="D132" s="4" t="s">
        <v>524</v>
      </c>
      <c r="E132" s="4" t="s">
        <v>51</v>
      </c>
      <c r="F132" s="4" t="s">
        <v>52</v>
      </c>
      <c r="G132" s="14">
        <v>5817.3</v>
      </c>
      <c r="H132" s="15">
        <v>1.43748486480877</v>
      </c>
      <c r="I132" s="4" t="s">
        <v>315</v>
      </c>
      <c r="J132" s="4" t="s">
        <v>39</v>
      </c>
      <c r="K132" s="4">
        <f t="shared" si="4"/>
        <v>3</v>
      </c>
      <c r="L132" s="4" t="str">
        <f t="shared" si="5"/>
        <v>Low</v>
      </c>
      <c r="M132" s="16" t="s">
        <v>26</v>
      </c>
      <c r="N132" s="17" t="s">
        <v>27</v>
      </c>
      <c r="O132" s="17" t="s">
        <v>28</v>
      </c>
      <c r="P132" s="17" t="s">
        <v>28</v>
      </c>
      <c r="Q132" s="17" t="s">
        <v>28</v>
      </c>
      <c r="R132" s="17" t="s">
        <v>28</v>
      </c>
    </row>
    <row r="133" spans="1:18">
      <c r="A133" s="4" t="s">
        <v>491</v>
      </c>
      <c r="B133" s="4" t="s">
        <v>525</v>
      </c>
      <c r="C133" s="4" t="s">
        <v>526</v>
      </c>
      <c r="D133" s="4" t="s">
        <v>498</v>
      </c>
      <c r="E133" s="4" t="s">
        <v>51</v>
      </c>
      <c r="F133" s="4" t="s">
        <v>52</v>
      </c>
      <c r="G133" s="14">
        <v>4274.45</v>
      </c>
      <c r="H133" s="15">
        <v>1.05623866405065</v>
      </c>
      <c r="I133" s="4" t="s">
        <v>398</v>
      </c>
      <c r="J133" s="4" t="s">
        <v>39</v>
      </c>
      <c r="K133" s="4">
        <f t="shared" si="4"/>
        <v>3</v>
      </c>
      <c r="L133" s="4" t="str">
        <f t="shared" si="5"/>
        <v>Low</v>
      </c>
      <c r="M133" s="16" t="s">
        <v>26</v>
      </c>
      <c r="N133" s="17" t="s">
        <v>27</v>
      </c>
      <c r="O133" s="17" t="s">
        <v>28</v>
      </c>
      <c r="P133" s="17" t="s">
        <v>28</v>
      </c>
      <c r="Q133" s="17" t="s">
        <v>28</v>
      </c>
      <c r="R133" s="17" t="s">
        <v>28</v>
      </c>
    </row>
    <row r="134" spans="1:18">
      <c r="A134" s="4" t="s">
        <v>491</v>
      </c>
      <c r="B134" s="4" t="s">
        <v>527</v>
      </c>
      <c r="C134" s="4" t="s">
        <v>528</v>
      </c>
      <c r="D134" s="4" t="s">
        <v>498</v>
      </c>
      <c r="E134" s="4" t="s">
        <v>51</v>
      </c>
      <c r="F134" s="4" t="s">
        <v>52</v>
      </c>
      <c r="G134" s="14">
        <v>4198.6</v>
      </c>
      <c r="H134" s="15">
        <v>1.03749573743594</v>
      </c>
      <c r="I134" s="4" t="s">
        <v>529</v>
      </c>
      <c r="J134" s="4" t="s">
        <v>39</v>
      </c>
      <c r="K134" s="4">
        <f t="shared" si="4"/>
        <v>3</v>
      </c>
      <c r="L134" s="4" t="str">
        <f t="shared" si="5"/>
        <v>Low</v>
      </c>
      <c r="M134" s="16" t="s">
        <v>26</v>
      </c>
      <c r="N134" s="17" t="s">
        <v>27</v>
      </c>
      <c r="O134" s="17" t="s">
        <v>28</v>
      </c>
      <c r="P134" s="17" t="s">
        <v>28</v>
      </c>
      <c r="Q134" s="17" t="s">
        <v>28</v>
      </c>
      <c r="R134" s="17" t="s">
        <v>28</v>
      </c>
    </row>
    <row r="135" spans="1:18">
      <c r="A135" s="4" t="s">
        <v>491</v>
      </c>
      <c r="B135" s="4" t="s">
        <v>530</v>
      </c>
      <c r="C135" s="4" t="s">
        <v>531</v>
      </c>
      <c r="D135" s="4" t="s">
        <v>498</v>
      </c>
      <c r="E135" s="4" t="s">
        <v>51</v>
      </c>
      <c r="F135" s="4" t="s">
        <v>52</v>
      </c>
      <c r="G135" s="14">
        <v>4122.7</v>
      </c>
      <c r="H135" s="15">
        <v>1.01874045556308</v>
      </c>
      <c r="I135" s="4" t="s">
        <v>532</v>
      </c>
      <c r="J135" s="4" t="s">
        <v>39</v>
      </c>
      <c r="K135" s="4">
        <f t="shared" si="4"/>
        <v>3</v>
      </c>
      <c r="L135" s="4" t="str">
        <f t="shared" si="5"/>
        <v>Low</v>
      </c>
      <c r="M135" s="16" t="s">
        <v>26</v>
      </c>
      <c r="N135" s="17" t="s">
        <v>27</v>
      </c>
      <c r="O135" s="17" t="s">
        <v>28</v>
      </c>
      <c r="P135" s="17" t="s">
        <v>28</v>
      </c>
      <c r="Q135" s="17" t="s">
        <v>28</v>
      </c>
      <c r="R135" s="17" t="s">
        <v>28</v>
      </c>
    </row>
    <row r="136" spans="1:18">
      <c r="A136" s="4" t="s">
        <v>491</v>
      </c>
      <c r="B136" s="4" t="s">
        <v>533</v>
      </c>
      <c r="C136" s="4" t="s">
        <v>534</v>
      </c>
      <c r="D136" s="4" t="s">
        <v>535</v>
      </c>
      <c r="E136" s="4" t="s">
        <v>51</v>
      </c>
      <c r="F136" s="4" t="s">
        <v>52</v>
      </c>
      <c r="G136" s="14">
        <v>4097.4</v>
      </c>
      <c r="H136" s="15">
        <v>1.01248869493879</v>
      </c>
      <c r="I136" s="4" t="s">
        <v>38</v>
      </c>
      <c r="J136" s="4" t="s">
        <v>39</v>
      </c>
      <c r="K136" s="4">
        <f t="shared" si="4"/>
        <v>3</v>
      </c>
      <c r="L136" s="4" t="str">
        <f t="shared" si="5"/>
        <v>Low</v>
      </c>
      <c r="M136" s="16" t="s">
        <v>26</v>
      </c>
      <c r="N136" s="17" t="s">
        <v>27</v>
      </c>
      <c r="O136" s="17" t="s">
        <v>28</v>
      </c>
      <c r="P136" s="17" t="s">
        <v>28</v>
      </c>
      <c r="Q136" s="17" t="s">
        <v>28</v>
      </c>
      <c r="R136" s="17" t="s">
        <v>28</v>
      </c>
    </row>
    <row r="137" spans="1:18">
      <c r="A137" s="4" t="s">
        <v>491</v>
      </c>
      <c r="B137" s="4" t="s">
        <v>536</v>
      </c>
      <c r="C137" s="4" t="s">
        <v>537</v>
      </c>
      <c r="D137" s="4" t="s">
        <v>538</v>
      </c>
      <c r="E137" s="4" t="s">
        <v>58</v>
      </c>
      <c r="F137" s="4" t="s">
        <v>59</v>
      </c>
      <c r="G137" s="14">
        <v>10236.2</v>
      </c>
      <c r="H137" s="15">
        <v>2.52941786965697</v>
      </c>
      <c r="I137" s="4" t="s">
        <v>539</v>
      </c>
      <c r="J137" s="4" t="s">
        <v>161</v>
      </c>
      <c r="K137" s="4">
        <f t="shared" si="4"/>
        <v>5</v>
      </c>
      <c r="L137" s="4" t="str">
        <f t="shared" si="5"/>
        <v>Medium</v>
      </c>
      <c r="M137" s="16" t="s">
        <v>26</v>
      </c>
      <c r="N137" s="17" t="s">
        <v>27</v>
      </c>
      <c r="O137" s="17" t="s">
        <v>28</v>
      </c>
      <c r="P137" s="17" t="s">
        <v>28</v>
      </c>
      <c r="Q137" s="17" t="s">
        <v>28</v>
      </c>
      <c r="R137" s="17" t="s">
        <v>28</v>
      </c>
    </row>
    <row r="138" spans="1:18">
      <c r="A138" s="4" t="s">
        <v>491</v>
      </c>
      <c r="B138" s="4" t="s">
        <v>540</v>
      </c>
      <c r="C138" s="4" t="s">
        <v>541</v>
      </c>
      <c r="D138" s="4" t="s">
        <v>542</v>
      </c>
      <c r="E138" s="4" t="s">
        <v>155</v>
      </c>
      <c r="F138" s="4" t="s">
        <v>23</v>
      </c>
      <c r="G138" s="14">
        <v>1936.6</v>
      </c>
      <c r="H138" s="15">
        <v>0.478543858695384</v>
      </c>
      <c r="I138" s="4" t="s">
        <v>543</v>
      </c>
      <c r="J138" s="4" t="s">
        <v>161</v>
      </c>
      <c r="K138" s="4">
        <f t="shared" si="4"/>
        <v>5</v>
      </c>
      <c r="L138" s="4" t="str">
        <f t="shared" si="5"/>
        <v>Medium</v>
      </c>
      <c r="M138" s="16" t="s">
        <v>26</v>
      </c>
      <c r="N138" s="17" t="s">
        <v>27</v>
      </c>
      <c r="O138" s="17" t="s">
        <v>28</v>
      </c>
      <c r="P138" s="17" t="s">
        <v>28</v>
      </c>
      <c r="Q138" s="17" t="s">
        <v>28</v>
      </c>
      <c r="R138" s="17" t="s">
        <v>28</v>
      </c>
    </row>
    <row r="139" spans="1:18">
      <c r="A139" s="4" t="s">
        <v>491</v>
      </c>
      <c r="B139" s="4" t="s">
        <v>544</v>
      </c>
      <c r="C139" s="4" t="s">
        <v>545</v>
      </c>
      <c r="D139" s="4" t="s">
        <v>28</v>
      </c>
      <c r="E139" s="4" t="s">
        <v>265</v>
      </c>
      <c r="F139" s="4" t="s">
        <v>66</v>
      </c>
      <c r="G139" s="14">
        <v>28360</v>
      </c>
      <c r="H139" s="15">
        <v>7.00790242311323</v>
      </c>
      <c r="I139" s="4" t="s">
        <v>546</v>
      </c>
      <c r="J139" s="4" t="s">
        <v>54</v>
      </c>
      <c r="K139" s="4">
        <f t="shared" si="4"/>
        <v>7</v>
      </c>
      <c r="L139" s="4" t="str">
        <f t="shared" si="5"/>
        <v>High</v>
      </c>
      <c r="M139" s="16" t="s">
        <v>26</v>
      </c>
      <c r="N139" s="17" t="s">
        <v>27</v>
      </c>
      <c r="O139" s="17" t="s">
        <v>28</v>
      </c>
      <c r="P139" s="17" t="s">
        <v>28</v>
      </c>
      <c r="Q139" s="17" t="s">
        <v>28</v>
      </c>
      <c r="R139" s="17" t="s">
        <v>28</v>
      </c>
    </row>
    <row r="140" spans="1:18">
      <c r="A140" s="4" t="s">
        <v>491</v>
      </c>
      <c r="B140" s="4" t="s">
        <v>547</v>
      </c>
      <c r="C140" s="4" t="s">
        <v>548</v>
      </c>
      <c r="D140" s="4" t="s">
        <v>549</v>
      </c>
      <c r="E140" s="4" t="s">
        <v>52</v>
      </c>
      <c r="F140" s="4" t="s">
        <v>52</v>
      </c>
      <c r="G140" s="14"/>
      <c r="H140" s="15"/>
      <c r="I140" s="4" t="s">
        <v>550</v>
      </c>
      <c r="J140" s="4" t="s">
        <v>68</v>
      </c>
      <c r="K140" s="4">
        <f t="shared" si="4"/>
        <v>2</v>
      </c>
      <c r="L140" s="4" t="str">
        <f t="shared" si="5"/>
        <v>Low</v>
      </c>
      <c r="M140" s="16" t="s">
        <v>26</v>
      </c>
      <c r="N140" s="17" t="s">
        <v>27</v>
      </c>
      <c r="O140" s="17" t="s">
        <v>28</v>
      </c>
      <c r="P140" s="17" t="s">
        <v>28</v>
      </c>
      <c r="Q140" s="17" t="s">
        <v>28</v>
      </c>
      <c r="R140" s="17" t="s">
        <v>28</v>
      </c>
    </row>
    <row r="141" spans="1:18">
      <c r="A141" s="4" t="s">
        <v>491</v>
      </c>
      <c r="B141" s="4" t="s">
        <v>551</v>
      </c>
      <c r="C141" s="4" t="s">
        <v>552</v>
      </c>
      <c r="D141" s="4" t="s">
        <v>553</v>
      </c>
      <c r="E141" s="4" t="s">
        <v>554</v>
      </c>
      <c r="F141" s="4" t="s">
        <v>66</v>
      </c>
      <c r="G141" s="14"/>
      <c r="H141" s="15"/>
      <c r="I141" s="4" t="s">
        <v>555</v>
      </c>
      <c r="J141" s="4" t="s">
        <v>68</v>
      </c>
      <c r="K141" s="4">
        <f t="shared" si="4"/>
        <v>4</v>
      </c>
      <c r="L141" s="4" t="str">
        <f t="shared" si="5"/>
        <v>Low</v>
      </c>
      <c r="M141" s="16" t="s">
        <v>26</v>
      </c>
      <c r="N141" s="17" t="s">
        <v>27</v>
      </c>
      <c r="O141" s="17" t="s">
        <v>28</v>
      </c>
      <c r="P141" s="17" t="s">
        <v>28</v>
      </c>
      <c r="Q141" s="17" t="s">
        <v>28</v>
      </c>
      <c r="R141" s="17" t="s">
        <v>28</v>
      </c>
    </row>
  </sheetData>
  <autoFilter xmlns:etc="http://www.wps.cn/officeDocument/2017/etCustomData" ref="A1:R141" etc:filterBottomFollowUsedRange="0">
    <extLst/>
  </autoFilter>
  <hyperlinks>
    <hyperlink ref="M2" r:id="rId1" display="Map View"/>
    <hyperlink ref="M3" r:id="rId2" display="Map View"/>
    <hyperlink ref="M4" r:id="rId3" display="Map View"/>
    <hyperlink ref="M5" r:id="rId4" display="Map View"/>
    <hyperlink ref="M6" r:id="rId5" display="Map View"/>
    <hyperlink ref="M7" r:id="rId6" display="Map View"/>
    <hyperlink ref="M8" r:id="rId7" display="Map View"/>
    <hyperlink ref="M9" r:id="rId8" display="Map View"/>
    <hyperlink ref="M10" r:id="rId9" display="Map View"/>
    <hyperlink ref="M11" r:id="rId10" display="Map View"/>
    <hyperlink ref="M12" r:id="rId11" display="Map View"/>
    <hyperlink ref="M13" r:id="rId12" display="Map View"/>
    <hyperlink ref="M14" r:id="rId13" display="Map View"/>
    <hyperlink ref="M15" r:id="rId14" display="Map View"/>
    <hyperlink ref="M16" r:id="rId15" display="Map View"/>
    <hyperlink ref="M17" r:id="rId16" display="Map View"/>
    <hyperlink ref="M18" r:id="rId17" display="Map View"/>
    <hyperlink ref="M19" r:id="rId18" display="Map View"/>
    <hyperlink ref="M20" r:id="rId19" display="Map View"/>
    <hyperlink ref="M21" r:id="rId20" display="Map View"/>
    <hyperlink ref="M22" r:id="rId21" display="Map View"/>
    <hyperlink ref="M23" r:id="rId22" display="Map View"/>
    <hyperlink ref="M24" r:id="rId23" display="Map View"/>
    <hyperlink ref="M25" r:id="rId24" display="Map View"/>
    <hyperlink ref="M26" r:id="rId25" display="Map View"/>
    <hyperlink ref="M27" r:id="rId26" display="Map View"/>
    <hyperlink ref="M28" r:id="rId27" display="Map View"/>
    <hyperlink ref="M29" r:id="rId28" display="Map View"/>
    <hyperlink ref="M30" r:id="rId29" display="Map View"/>
    <hyperlink ref="M31" r:id="rId30" display="Map View"/>
    <hyperlink ref="M32" r:id="rId31" display="Map View"/>
    <hyperlink ref="M33" r:id="rId32" display="Map View"/>
    <hyperlink ref="M34" r:id="rId33" display="Map View"/>
    <hyperlink ref="M35" r:id="rId34" display="Map View"/>
    <hyperlink ref="M36" r:id="rId35" display="Map View"/>
    <hyperlink ref="M37" r:id="rId36" display="Map View"/>
    <hyperlink ref="M38" r:id="rId37" display="Map View"/>
    <hyperlink ref="M39" r:id="rId38" display="Map View"/>
    <hyperlink ref="M40" r:id="rId39" display="Map View"/>
    <hyperlink ref="M41" r:id="rId40" display="Map View"/>
    <hyperlink ref="M42" r:id="rId41" display="Map View"/>
    <hyperlink ref="M43" r:id="rId42" display="Map View"/>
    <hyperlink ref="M44" r:id="rId43" display="Map View"/>
    <hyperlink ref="M45" r:id="rId44" display="Map View"/>
    <hyperlink ref="M46" r:id="rId45" display="Map View"/>
    <hyperlink ref="M47" r:id="rId46" display="Map View"/>
    <hyperlink ref="M48" r:id="rId47" display="Map View"/>
    <hyperlink ref="M49" r:id="rId48" display="Map View"/>
    <hyperlink ref="M50" r:id="rId49" display="Map View"/>
    <hyperlink ref="M51" r:id="rId50" display="Map View"/>
    <hyperlink ref="M52" r:id="rId51" display="Map View"/>
    <hyperlink ref="M53" r:id="rId52" display="Map View"/>
    <hyperlink ref="M54" r:id="rId53" display="Map View"/>
    <hyperlink ref="M55" r:id="rId54" display="Map View"/>
    <hyperlink ref="M56" r:id="rId55" display="Map View"/>
    <hyperlink ref="M57" r:id="rId56" display="Map View"/>
    <hyperlink ref="M58" r:id="rId57" display="Map View"/>
    <hyperlink ref="M59" r:id="rId58" display="Map View"/>
    <hyperlink ref="M60" r:id="rId59" display="Map View"/>
    <hyperlink ref="M61" r:id="rId60" display="Map View"/>
    <hyperlink ref="M62" r:id="rId61" display="Map View"/>
    <hyperlink ref="M63" r:id="rId62" display="Map View"/>
    <hyperlink ref="M64" r:id="rId63" display="Map View"/>
    <hyperlink ref="M65" r:id="rId64" display="Map View"/>
    <hyperlink ref="M66" r:id="rId65" display="Map View"/>
    <hyperlink ref="M67" r:id="rId66" display="Map View"/>
    <hyperlink ref="M68" r:id="rId67" display="Map View"/>
    <hyperlink ref="M69" r:id="rId68" display="Map View"/>
    <hyperlink ref="M70" r:id="rId69" display="Map View"/>
    <hyperlink ref="M71" r:id="rId70" display="Map View"/>
    <hyperlink ref="M72" r:id="rId71" display="Map View"/>
    <hyperlink ref="M73" r:id="rId72" display="Map View"/>
    <hyperlink ref="M74" r:id="rId73" display="Map View"/>
    <hyperlink ref="M75" r:id="rId74" display="Map View"/>
    <hyperlink ref="M76" r:id="rId75" display="Map View"/>
    <hyperlink ref="M77" r:id="rId76" display="Map View"/>
    <hyperlink ref="M78" r:id="rId77" display="Map View"/>
    <hyperlink ref="M79" r:id="rId78" display="Map View"/>
    <hyperlink ref="M80" r:id="rId79" display="Map View"/>
    <hyperlink ref="M81" r:id="rId80" display="Map View"/>
    <hyperlink ref="M82" r:id="rId81" display="Map View"/>
    <hyperlink ref="M83" r:id="rId82" display="Map View"/>
    <hyperlink ref="M84" r:id="rId83" display="Map View"/>
    <hyperlink ref="M85" r:id="rId84" display="Map View"/>
    <hyperlink ref="M86" r:id="rId85" display="Map View"/>
    <hyperlink ref="M87" r:id="rId86" display="Map View"/>
    <hyperlink ref="M88" r:id="rId87" display="Map View"/>
    <hyperlink ref="M89" r:id="rId88" display="Map View"/>
    <hyperlink ref="M90" r:id="rId89" display="Map View"/>
    <hyperlink ref="M91" r:id="rId90" display="Map View"/>
    <hyperlink ref="M92" r:id="rId91" display="Map View"/>
    <hyperlink ref="M93" r:id="rId92" display="Map View"/>
    <hyperlink ref="M94" r:id="rId93" display="Map View"/>
    <hyperlink ref="M95" r:id="rId94" display="Map View"/>
    <hyperlink ref="M96" r:id="rId95" display="Map View"/>
    <hyperlink ref="M97" r:id="rId96" display="Map View"/>
    <hyperlink ref="M98" r:id="rId97" display="Map View"/>
    <hyperlink ref="M99" r:id="rId98" display="Map View"/>
    <hyperlink ref="M100" r:id="rId99" display="Map View"/>
    <hyperlink ref="M101" r:id="rId100" display="Map View"/>
    <hyperlink ref="M102" r:id="rId101" display="Map View"/>
    <hyperlink ref="M103" r:id="rId102" display="Map View"/>
    <hyperlink ref="M104" r:id="rId103" display="Map View"/>
    <hyperlink ref="M105" r:id="rId104" display="Map View"/>
    <hyperlink ref="M106" r:id="rId105" display="Map View"/>
    <hyperlink ref="M107" r:id="rId106" display="Map View"/>
    <hyperlink ref="M108" r:id="rId107" display="Map View"/>
    <hyperlink ref="M109" r:id="rId108" display="Map View"/>
    <hyperlink ref="M110" r:id="rId109" display="Map View"/>
    <hyperlink ref="M111" r:id="rId110" display="Map View"/>
    <hyperlink ref="M112" r:id="rId111" display="Map View"/>
    <hyperlink ref="M113" r:id="rId112" display="Map View"/>
    <hyperlink ref="M114" r:id="rId113" display="Map View"/>
    <hyperlink ref="M115" r:id="rId114" display="Map View"/>
    <hyperlink ref="M116" r:id="rId115" display="Map View"/>
    <hyperlink ref="M117" r:id="rId116" display="Map View"/>
    <hyperlink ref="M118" r:id="rId117" display="Map View"/>
    <hyperlink ref="M119" r:id="rId118" display="Map View"/>
    <hyperlink ref="M120" r:id="rId119" display="Map View"/>
    <hyperlink ref="M121" r:id="rId120" display="Map View"/>
    <hyperlink ref="M122" r:id="rId121" display="Map View"/>
    <hyperlink ref="M123" r:id="rId122" display="Map View"/>
    <hyperlink ref="M124" r:id="rId123" display="Map View"/>
    <hyperlink ref="M125" r:id="rId124" display="Map View"/>
    <hyperlink ref="M126" r:id="rId125" display="Map View"/>
    <hyperlink ref="M127" r:id="rId126" display="Map View"/>
    <hyperlink ref="M128" r:id="rId127" display="Map View"/>
    <hyperlink ref="M129" r:id="rId128" display="Map View"/>
    <hyperlink ref="M130" r:id="rId129" display="Map View"/>
    <hyperlink ref="M131" r:id="rId130" display="Map View"/>
    <hyperlink ref="M132" r:id="rId131" display="Map View"/>
    <hyperlink ref="M133" r:id="rId132" display="Map View"/>
    <hyperlink ref="M134" r:id="rId133" display="Map View"/>
    <hyperlink ref="M135" r:id="rId134" display="Map View"/>
    <hyperlink ref="M136" r:id="rId135" display="Map View"/>
    <hyperlink ref="M137" r:id="rId136" display="Map View"/>
    <hyperlink ref="M138" r:id="rId137" display="Map View"/>
    <hyperlink ref="M139" r:id="rId138" display="Map View"/>
    <hyperlink ref="M140" r:id="rId139" display="Map View"/>
    <hyperlink ref="M141" r:id="rId140" display="Map View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A1" sqref="A1"/>
    </sheetView>
  </sheetViews>
  <sheetFormatPr defaultColWidth="9" defaultRowHeight="14.4"/>
  <cols>
    <col min="1" max="1" width="14" customWidth="1"/>
    <col min="2" max="6" width="8" customWidth="1"/>
    <col min="7" max="7" width="9" customWidth="1"/>
    <col min="8" max="9" width="11" customWidth="1"/>
    <col min="10" max="10" width="7" customWidth="1"/>
    <col min="11" max="11" width="12" customWidth="1"/>
  </cols>
  <sheetData>
    <row r="1" ht="16.8" spans="1:11">
      <c r="A1" s="1" t="s">
        <v>556</v>
      </c>
    </row>
    <row r="2" spans="1:11">
      <c r="A2" s="2" t="s">
        <v>557</v>
      </c>
    </row>
    <row r="4" spans="1:11">
      <c r="A4" s="3" t="s">
        <v>0</v>
      </c>
      <c r="B4" s="3" t="s">
        <v>558</v>
      </c>
      <c r="C4" s="3" t="s">
        <v>559</v>
      </c>
      <c r="D4" s="3" t="s">
        <v>33</v>
      </c>
      <c r="E4" s="3" t="s">
        <v>23</v>
      </c>
      <c r="F4" s="3" t="s">
        <v>560</v>
      </c>
      <c r="G4" s="3" t="s">
        <v>59</v>
      </c>
      <c r="H4" s="3" t="s">
        <v>52</v>
      </c>
      <c r="I4" s="3" t="s">
        <v>66</v>
      </c>
      <c r="J4" s="3" t="s">
        <v>561</v>
      </c>
      <c r="K4" s="3" t="s">
        <v>562</v>
      </c>
    </row>
    <row r="5" spans="1:11">
      <c r="A5" s="4" t="s">
        <v>199</v>
      </c>
      <c r="B5" s="4">
        <f>COUNTIF(Leads!$A$2:$A$141,$A5)</f>
        <v>19</v>
      </c>
      <c r="C5" s="5">
        <f>SUMIF(Leads!$A$2:$A$141,$A5,Leads!$H$2:$H$141)</f>
        <v>37.0776651527357</v>
      </c>
      <c r="D5" s="4">
        <f>COUNTIFS(Leads!$A$2:$A$141,$A5,Leads!$F$2:$F$141,"Hotel")</f>
        <v>4</v>
      </c>
      <c r="E5" s="4">
        <f>COUNTIFS(Leads!$A$2:$A$141,$A5,Leads!$F$2:$F$141,"Motel")</f>
        <v>4</v>
      </c>
      <c r="F5" s="4">
        <f>COUNTIFS(Leads!$A$2:$A$141,$A5,Leads!$F$2:$F$141,"Resort")</f>
        <v>0</v>
      </c>
      <c r="G5" s="4">
        <f>COUNTIFS(Leads!$A$2:$A$141,$A5,Leads!$F$2:$F$141,"Banquet")</f>
        <v>8</v>
      </c>
      <c r="H5" s="4">
        <f>COUNTIFS(Leads!$A$2:$A$141,$A5,Leads!$F$2:$F$141,"Farmhouse")</f>
        <v>1</v>
      </c>
      <c r="I5" s="4">
        <f>COUNTIFS(Leads!$A$2:$A$141,$A5,Leads!$F$2:$F$141,"Amusement")</f>
        <v>2</v>
      </c>
      <c r="J5" s="4">
        <f>COUNTIFS(Leads!$A$2:$A$141,$A5,Leads!$F$2:$F$141,"Club")</f>
        <v>0</v>
      </c>
      <c r="K5" s="4">
        <f>COUNTIFS(Leads!$A$2:$A$141,$A5,Leads!$L$2:$L$141,"High")</f>
        <v>4</v>
      </c>
    </row>
    <row r="6" spans="1:11">
      <c r="A6" s="4" t="s">
        <v>340</v>
      </c>
      <c r="B6" s="4">
        <f>COUNTIF(Leads!$A$2:$A$141,$A6)</f>
        <v>25</v>
      </c>
      <c r="C6" s="5">
        <f>SUMIF(Leads!$A$2:$A$141,$A6,Leads!$H$2:$H$141)</f>
        <v>34.9567738938337</v>
      </c>
      <c r="D6" s="4">
        <f>COUNTIFS(Leads!$A$2:$A$141,$A6,Leads!$F$2:$F$141,"Hotel")</f>
        <v>6</v>
      </c>
      <c r="E6" s="4">
        <f>COUNTIFS(Leads!$A$2:$A$141,$A6,Leads!$F$2:$F$141,"Motel")</f>
        <v>6</v>
      </c>
      <c r="F6" s="4">
        <f>COUNTIFS(Leads!$A$2:$A$141,$A6,Leads!$F$2:$F$141,"Resort")</f>
        <v>0</v>
      </c>
      <c r="G6" s="4">
        <f>COUNTIFS(Leads!$A$2:$A$141,$A6,Leads!$F$2:$F$141,"Banquet")</f>
        <v>3</v>
      </c>
      <c r="H6" s="4">
        <f>COUNTIFS(Leads!$A$2:$A$141,$A6,Leads!$F$2:$F$141,"Farmhouse")</f>
        <v>8</v>
      </c>
      <c r="I6" s="4">
        <f>COUNTIFS(Leads!$A$2:$A$141,$A6,Leads!$F$2:$F$141,"Amusement")</f>
        <v>2</v>
      </c>
      <c r="J6" s="4">
        <f>COUNTIFS(Leads!$A$2:$A$141,$A6,Leads!$F$2:$F$141,"Club")</f>
        <v>0</v>
      </c>
      <c r="K6" s="4">
        <f>COUNTIFS(Leads!$A$2:$A$141,$A6,Leads!$L$2:$L$141,"High")</f>
        <v>7</v>
      </c>
    </row>
    <row r="7" spans="1:11">
      <c r="A7" s="4" t="s">
        <v>491</v>
      </c>
      <c r="B7" s="4">
        <f>COUNTIF(Leads!$A$2:$A$141,$A7)</f>
        <v>19</v>
      </c>
      <c r="C7" s="5">
        <f>SUMIF(Leads!$A$2:$A$141,$A7,Leads!$H$2:$H$141)</f>
        <v>38.4103626021162</v>
      </c>
      <c r="D7" s="4">
        <f>COUNTIFS(Leads!$A$2:$A$141,$A7,Leads!$F$2:$F$141,"Hotel")</f>
        <v>1</v>
      </c>
      <c r="E7" s="4">
        <f>COUNTIFS(Leads!$A$2:$A$141,$A7,Leads!$F$2:$F$141,"Motel")</f>
        <v>1</v>
      </c>
      <c r="F7" s="4">
        <f>COUNTIFS(Leads!$A$2:$A$141,$A7,Leads!$F$2:$F$141,"Resort")</f>
        <v>0</v>
      </c>
      <c r="G7" s="4">
        <f>COUNTIFS(Leads!$A$2:$A$141,$A7,Leads!$F$2:$F$141,"Banquet")</f>
        <v>3</v>
      </c>
      <c r="H7" s="4">
        <f>COUNTIFS(Leads!$A$2:$A$141,$A7,Leads!$F$2:$F$141,"Farmhouse")</f>
        <v>12</v>
      </c>
      <c r="I7" s="4">
        <f>COUNTIFS(Leads!$A$2:$A$141,$A7,Leads!$F$2:$F$141,"Amusement")</f>
        <v>2</v>
      </c>
      <c r="J7" s="4">
        <f>COUNTIFS(Leads!$A$2:$A$141,$A7,Leads!$F$2:$F$141,"Club")</f>
        <v>0</v>
      </c>
      <c r="K7" s="4">
        <f>COUNTIFS(Leads!$A$2:$A$141,$A7,Leads!$L$2:$L$141,"High")</f>
        <v>2</v>
      </c>
    </row>
    <row r="8" spans="1:11">
      <c r="A8" s="4" t="s">
        <v>434</v>
      </c>
      <c r="B8" s="4">
        <f>COUNTIF(Leads!$A$2:$A$141,$A8)</f>
        <v>15</v>
      </c>
      <c r="C8" s="5">
        <f>SUMIF(Leads!$A$2:$A$141,$A8,Leads!$H$2:$H$141)</f>
        <v>35.0592212233682</v>
      </c>
      <c r="D8" s="4">
        <f>COUNTIFS(Leads!$A$2:$A$141,$A8,Leads!$F$2:$F$141,"Hotel")</f>
        <v>2</v>
      </c>
      <c r="E8" s="4">
        <f>COUNTIFS(Leads!$A$2:$A$141,$A8,Leads!$F$2:$F$141,"Motel")</f>
        <v>4</v>
      </c>
      <c r="F8" s="4">
        <f>COUNTIFS(Leads!$A$2:$A$141,$A8,Leads!$F$2:$F$141,"Resort")</f>
        <v>0</v>
      </c>
      <c r="G8" s="4">
        <f>COUNTIFS(Leads!$A$2:$A$141,$A8,Leads!$F$2:$F$141,"Banquet")</f>
        <v>2</v>
      </c>
      <c r="H8" s="4">
        <f>COUNTIFS(Leads!$A$2:$A$141,$A8,Leads!$F$2:$F$141,"Farmhouse")</f>
        <v>4</v>
      </c>
      <c r="I8" s="4">
        <f>COUNTIFS(Leads!$A$2:$A$141,$A8,Leads!$F$2:$F$141,"Amusement")</f>
        <v>3</v>
      </c>
      <c r="J8" s="4">
        <f>COUNTIFS(Leads!$A$2:$A$141,$A8,Leads!$F$2:$F$141,"Club")</f>
        <v>0</v>
      </c>
      <c r="K8" s="4">
        <f>COUNTIFS(Leads!$A$2:$A$141,$A8,Leads!$L$2:$L$141,"High")</f>
        <v>5</v>
      </c>
    </row>
    <row r="9" spans="1:11">
      <c r="A9" s="4" t="s">
        <v>80</v>
      </c>
      <c r="B9" s="4">
        <f>COUNTIF(Leads!$A$2:$A$141,$A9)</f>
        <v>32</v>
      </c>
      <c r="C9" s="5">
        <f>SUMIF(Leads!$A$2:$A$141,$A9,Leads!$H$2:$H$141)</f>
        <v>48.4510212856387</v>
      </c>
      <c r="D9" s="4">
        <f>COUNTIFS(Leads!$A$2:$A$141,$A9,Leads!$F$2:$F$141,"Hotel")</f>
        <v>3</v>
      </c>
      <c r="E9" s="4">
        <f>COUNTIFS(Leads!$A$2:$A$141,$A9,Leads!$F$2:$F$141,"Motel")</f>
        <v>19</v>
      </c>
      <c r="F9" s="4">
        <f>COUNTIFS(Leads!$A$2:$A$141,$A9,Leads!$F$2:$F$141,"Resort")</f>
        <v>0</v>
      </c>
      <c r="G9" s="4">
        <f>COUNTIFS(Leads!$A$2:$A$141,$A9,Leads!$F$2:$F$141,"Banquet")</f>
        <v>1</v>
      </c>
      <c r="H9" s="4">
        <f>COUNTIFS(Leads!$A$2:$A$141,$A9,Leads!$F$2:$F$141,"Farmhouse")</f>
        <v>9</v>
      </c>
      <c r="I9" s="4">
        <f>COUNTIFS(Leads!$A$2:$A$141,$A9,Leads!$F$2:$F$141,"Amusement")</f>
        <v>0</v>
      </c>
      <c r="J9" s="4">
        <f>COUNTIFS(Leads!$A$2:$A$141,$A9,Leads!$F$2:$F$141,"Club")</f>
        <v>0</v>
      </c>
      <c r="K9" s="4">
        <f>COUNTIFS(Leads!$A$2:$A$141,$A9,Leads!$L$2:$L$141,"High")</f>
        <v>5</v>
      </c>
    </row>
    <row r="10" spans="1:11">
      <c r="A10" s="4" t="s">
        <v>18</v>
      </c>
      <c r="B10" s="4">
        <f>COUNTIF(Leads!$A$2:$A$141,$A10)</f>
        <v>11</v>
      </c>
      <c r="C10" s="5">
        <f>SUMIF(Leads!$A$2:$A$141,$A10,Leads!$H$2:$H$141)</f>
        <v>9.3255511680661</v>
      </c>
      <c r="D10" s="4">
        <f>COUNTIFS(Leads!$A$2:$A$141,$A10,Leads!$F$2:$F$141,"Hotel")</f>
        <v>2</v>
      </c>
      <c r="E10" s="4">
        <f>COUNTIFS(Leads!$A$2:$A$141,$A10,Leads!$F$2:$F$141,"Motel")</f>
        <v>3</v>
      </c>
      <c r="F10" s="4">
        <f>COUNTIFS(Leads!$A$2:$A$141,$A10,Leads!$F$2:$F$141,"Resort")</f>
        <v>0</v>
      </c>
      <c r="G10" s="4">
        <f>COUNTIFS(Leads!$A$2:$A$141,$A10,Leads!$F$2:$F$141,"Banquet")</f>
        <v>2</v>
      </c>
      <c r="H10" s="4">
        <f>COUNTIFS(Leads!$A$2:$A$141,$A10,Leads!$F$2:$F$141,"Farmhouse")</f>
        <v>2</v>
      </c>
      <c r="I10" s="4">
        <f>COUNTIFS(Leads!$A$2:$A$141,$A10,Leads!$F$2:$F$141,"Amusement")</f>
        <v>2</v>
      </c>
      <c r="J10" s="4">
        <f>COUNTIFS(Leads!$A$2:$A$141,$A10,Leads!$F$2:$F$141,"Club")</f>
        <v>0</v>
      </c>
      <c r="K10" s="4">
        <f>COUNTIFS(Leads!$A$2:$A$141,$A10,Leads!$L$2:$L$141,"High")</f>
        <v>2</v>
      </c>
    </row>
    <row r="11" spans="1:11">
      <c r="A11" s="4" t="s">
        <v>271</v>
      </c>
      <c r="B11" s="4">
        <f>COUNTIF(Leads!$A$2:$A$141,$A11)</f>
        <v>19</v>
      </c>
      <c r="C11" s="5">
        <f>SUMIF(Leads!$A$2:$A$141,$A11,Leads!$H$2:$H$141)</f>
        <v>21.472432948014</v>
      </c>
      <c r="D11" s="4">
        <f>COUNTIFS(Leads!$A$2:$A$141,$A11,Leads!$F$2:$F$141,"Hotel")</f>
        <v>3</v>
      </c>
      <c r="E11" s="4">
        <f>COUNTIFS(Leads!$A$2:$A$141,$A11,Leads!$F$2:$F$141,"Motel")</f>
        <v>10</v>
      </c>
      <c r="F11" s="4">
        <f>COUNTIFS(Leads!$A$2:$A$141,$A11,Leads!$F$2:$F$141,"Resort")</f>
        <v>0</v>
      </c>
      <c r="G11" s="4">
        <f>COUNTIFS(Leads!$A$2:$A$141,$A11,Leads!$F$2:$F$141,"Banquet")</f>
        <v>3</v>
      </c>
      <c r="H11" s="4">
        <f>COUNTIFS(Leads!$A$2:$A$141,$A11,Leads!$F$2:$F$141,"Farmhouse")</f>
        <v>2</v>
      </c>
      <c r="I11" s="4">
        <f>COUNTIFS(Leads!$A$2:$A$141,$A11,Leads!$F$2:$F$141,"Amusement")</f>
        <v>1</v>
      </c>
      <c r="J11" s="4">
        <f>COUNTIFS(Leads!$A$2:$A$141,$A11,Leads!$F$2:$F$141,"Club")</f>
        <v>0</v>
      </c>
      <c r="K11" s="4">
        <f>COUNTIFS(Leads!$A$2:$A$141,$A11,Leads!$L$2:$L$141,"High")</f>
        <v>3</v>
      </c>
    </row>
    <row r="12" spans="1:11">
      <c r="A12" s="6" t="s">
        <v>563</v>
      </c>
      <c r="B12" s="7">
        <f t="shared" ref="B12:K12" si="0">SUM(B5:B11)</f>
        <v>140</v>
      </c>
      <c r="C12" s="8">
        <f t="shared" si="0"/>
        <v>224.753028273773</v>
      </c>
      <c r="D12" s="7">
        <f t="shared" si="0"/>
        <v>21</v>
      </c>
      <c r="E12" s="7">
        <f t="shared" si="0"/>
        <v>47</v>
      </c>
      <c r="F12" s="7">
        <f t="shared" si="0"/>
        <v>0</v>
      </c>
      <c r="G12" s="7">
        <f t="shared" si="0"/>
        <v>22</v>
      </c>
      <c r="H12" s="7">
        <f t="shared" si="0"/>
        <v>38</v>
      </c>
      <c r="I12" s="7">
        <f t="shared" si="0"/>
        <v>12</v>
      </c>
      <c r="J12" s="7">
        <f t="shared" si="0"/>
        <v>0</v>
      </c>
      <c r="K12" s="7">
        <f t="shared" si="0"/>
        <v>28</v>
      </c>
    </row>
    <row r="15" spans="1:11">
      <c r="A15" s="9" t="s">
        <v>564</v>
      </c>
      <c r="B15" s="10"/>
    </row>
    <row r="16" ht="26" customHeight="1" spans="1:11">
      <c r="A16" s="11" t="s">
        <v>565</v>
      </c>
    </row>
    <row r="17" ht="26" customHeight="1" spans="1:1">
      <c r="A17" s="11" t="s">
        <v>566</v>
      </c>
    </row>
    <row r="18" ht="26" customHeight="1" spans="1:1">
      <c r="A18" s="11" t="s">
        <v>567</v>
      </c>
    </row>
    <row r="19" ht="26" customHeight="1" spans="1:1">
      <c r="A19" s="11" t="s">
        <v>568</v>
      </c>
    </row>
    <row r="20" ht="26" customHeight="1" spans="1:1">
      <c r="A20" s="11" t="s">
        <v>569</v>
      </c>
    </row>
  </sheetData>
  <mergeCells count="5">
    <mergeCell ref="A16:K16"/>
    <mergeCell ref="A17:K17"/>
    <mergeCell ref="A18:K18"/>
    <mergeCell ref="A19:K19"/>
    <mergeCell ref="A20:K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Leads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2026-08-13T15:46:00Z</dcterms:created>
  <dcterms:modified xsi:type="dcterms:W3CDTF">2026-08-13T15:59:33Z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CBCD620BC82C483C90D36113F25D1A28_12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